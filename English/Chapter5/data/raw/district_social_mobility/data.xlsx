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udasatoki/Desktop/cpij2025/code/data/raw/地区別社会動態_地区内移動_地区外移動/"/>
    </mc:Choice>
  </mc:AlternateContent>
  <xr:revisionPtr revIDLastSave="0" documentId="13_ncr:1_{D651758F-6E0E-124B-9570-C975AE555F2C}" xr6:coauthVersionLast="47" xr6:coauthVersionMax="47" xr10:uidLastSave="{00000000-0000-0000-0000-000000000000}"/>
  <bookViews>
    <workbookView xWindow="0" yWindow="500" windowWidth="28800" windowHeight="16580" activeTab="3" xr2:uid="{D9DFDAD0-E121-AC4F-B565-400D034DBC0D}"/>
  </bookViews>
  <sheets>
    <sheet name="地区内転居出" sheetId="1" r:id="rId1"/>
    <sheet name="地区外転出" sheetId="5" r:id="rId2"/>
    <sheet name="地区内転居入" sheetId="6" r:id="rId3"/>
    <sheet name="地区外転入" sheetId="4" r:id="rId4"/>
    <sheet name="地区別人口" sheetId="2" r:id="rId5"/>
    <sheet name="地区内転居出率" sheetId="3" r:id="rId6"/>
    <sheet name="地区外転出率" sheetId="7" r:id="rId7"/>
  </sheets>
  <definedNames>
    <definedName name="_xlchart.v1.0" hidden="1">地区外転出率!$A$2:$A$45</definedName>
    <definedName name="_xlchart.v1.1" hidden="1">地区外転出率!$B$2:$B$45</definedName>
    <definedName name="_xlchart.v1.10" hidden="1">地区外転出率!$K$2:$K$45</definedName>
    <definedName name="_xlchart.v1.11" hidden="1">地区外転出率!$A$2:$A$45</definedName>
    <definedName name="_xlchart.v1.12" hidden="1">地区外転出率!$B$2:$B$45</definedName>
    <definedName name="_xlchart.v1.13" hidden="1">地区外転出率!$C$2:$C$45</definedName>
    <definedName name="_xlchart.v1.14" hidden="1">地区外転出率!$D$2:$D$45</definedName>
    <definedName name="_xlchart.v1.15" hidden="1">地区外転出率!$E$2:$E$45</definedName>
    <definedName name="_xlchart.v1.16" hidden="1">地区外転出率!$F$2:$F$45</definedName>
    <definedName name="_xlchart.v1.17" hidden="1">地区外転出率!$G$2:$G$45</definedName>
    <definedName name="_xlchart.v1.18" hidden="1">地区外転出率!$H$2:$H$45</definedName>
    <definedName name="_xlchart.v1.19" hidden="1">地区外転出率!$I$2:$I$45</definedName>
    <definedName name="_xlchart.v1.2" hidden="1">地区外転出率!$C$2:$C$45</definedName>
    <definedName name="_xlchart.v1.20" hidden="1">地区外転出率!$J$2:$J$45</definedName>
    <definedName name="_xlchart.v1.21" hidden="1">地区外転出率!$K$2:$K$45</definedName>
    <definedName name="_xlchart.v1.3" hidden="1">地区外転出率!$D$2:$D$45</definedName>
    <definedName name="_xlchart.v1.4" hidden="1">地区外転出率!$E$2:$E$45</definedName>
    <definedName name="_xlchart.v1.5" hidden="1">地区外転出率!$F$2:$F$45</definedName>
    <definedName name="_xlchart.v1.6" hidden="1">地区外転出率!$G$2:$G$45</definedName>
    <definedName name="_xlchart.v1.7" hidden="1">地区外転出率!$H$2:$H$45</definedName>
    <definedName name="_xlchart.v1.8" hidden="1">地区外転出率!$I$2:$I$45</definedName>
    <definedName name="_xlchart.v1.9" hidden="1">地区外転出率!$J$2:$J$45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C3" i="7"/>
  <c r="D3" i="7"/>
  <c r="E3" i="7"/>
  <c r="F3" i="7"/>
  <c r="G3" i="7"/>
  <c r="H3" i="7"/>
  <c r="I3" i="7"/>
  <c r="J3" i="7"/>
  <c r="L3" i="7" s="1"/>
  <c r="K3" i="7"/>
  <c r="B4" i="7"/>
  <c r="C4" i="7"/>
  <c r="D4" i="7"/>
  <c r="E4" i="7"/>
  <c r="F4" i="7"/>
  <c r="G4" i="7"/>
  <c r="H4" i="7"/>
  <c r="L4" i="7" s="1"/>
  <c r="I4" i="7"/>
  <c r="J4" i="7"/>
  <c r="K4" i="7"/>
  <c r="B5" i="7"/>
  <c r="C5" i="7"/>
  <c r="D5" i="7"/>
  <c r="E5" i="7"/>
  <c r="F5" i="7"/>
  <c r="L5" i="7" s="1"/>
  <c r="G5" i="7"/>
  <c r="H5" i="7"/>
  <c r="I5" i="7"/>
  <c r="J5" i="7"/>
  <c r="K5" i="7"/>
  <c r="B6" i="7"/>
  <c r="C6" i="7"/>
  <c r="D6" i="7"/>
  <c r="L6" i="7" s="1"/>
  <c r="E6" i="7"/>
  <c r="F6" i="7"/>
  <c r="G6" i="7"/>
  <c r="H6" i="7"/>
  <c r="I6" i="7"/>
  <c r="J6" i="7"/>
  <c r="K6" i="7"/>
  <c r="B7" i="7"/>
  <c r="L7" i="7" s="1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L9" i="7" s="1"/>
  <c r="C9" i="7"/>
  <c r="D9" i="7"/>
  <c r="E9" i="7"/>
  <c r="F9" i="7"/>
  <c r="G9" i="7"/>
  <c r="H9" i="7"/>
  <c r="I9" i="7"/>
  <c r="J9" i="7"/>
  <c r="K9" i="7"/>
  <c r="B10" i="7"/>
  <c r="L10" i="7" s="1"/>
  <c r="C10" i="7"/>
  <c r="D10" i="7"/>
  <c r="E10" i="7"/>
  <c r="F10" i="7"/>
  <c r="G10" i="7"/>
  <c r="H10" i="7"/>
  <c r="I10" i="7"/>
  <c r="J10" i="7"/>
  <c r="K10" i="7"/>
  <c r="B11" i="7"/>
  <c r="L11" i="7" s="1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L12" i="7" s="1"/>
  <c r="G12" i="7"/>
  <c r="H12" i="7"/>
  <c r="I12" i="7"/>
  <c r="J12" i="7"/>
  <c r="K12" i="7"/>
  <c r="B13" i="7"/>
  <c r="L13" i="7" s="1"/>
  <c r="C13" i="7"/>
  <c r="D13" i="7"/>
  <c r="E13" i="7"/>
  <c r="F13" i="7"/>
  <c r="G13" i="7"/>
  <c r="H13" i="7"/>
  <c r="I13" i="7"/>
  <c r="J13" i="7"/>
  <c r="K13" i="7"/>
  <c r="B14" i="7"/>
  <c r="L14" i="7" s="1"/>
  <c r="C14" i="7"/>
  <c r="D14" i="7"/>
  <c r="E14" i="7"/>
  <c r="F14" i="7"/>
  <c r="G14" i="7"/>
  <c r="H14" i="7"/>
  <c r="I14" i="7"/>
  <c r="J14" i="7"/>
  <c r="K14" i="7"/>
  <c r="B15" i="7"/>
  <c r="L15" i="7" s="1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L17" i="7" s="1"/>
  <c r="G17" i="7"/>
  <c r="H17" i="7"/>
  <c r="I17" i="7"/>
  <c r="J17" i="7"/>
  <c r="K17" i="7"/>
  <c r="B18" i="7"/>
  <c r="L18" i="7" s="1"/>
  <c r="C18" i="7"/>
  <c r="D18" i="7"/>
  <c r="E18" i="7"/>
  <c r="F18" i="7"/>
  <c r="G18" i="7"/>
  <c r="H18" i="7"/>
  <c r="I18" i="7"/>
  <c r="J18" i="7"/>
  <c r="K18" i="7"/>
  <c r="B19" i="7"/>
  <c r="L19" i="7" s="1"/>
  <c r="C19" i="7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L20" i="7" s="1"/>
  <c r="I20" i="7"/>
  <c r="J20" i="7"/>
  <c r="K20" i="7"/>
  <c r="B21" i="7"/>
  <c r="L21" i="7" s="1"/>
  <c r="C21" i="7"/>
  <c r="D21" i="7"/>
  <c r="E21" i="7"/>
  <c r="F21" i="7"/>
  <c r="G21" i="7"/>
  <c r="H21" i="7"/>
  <c r="I21" i="7"/>
  <c r="J21" i="7"/>
  <c r="K21" i="7"/>
  <c r="B22" i="7"/>
  <c r="L22" i="7" s="1"/>
  <c r="C22" i="7"/>
  <c r="D22" i="7"/>
  <c r="E22" i="7"/>
  <c r="F22" i="7"/>
  <c r="G22" i="7"/>
  <c r="H22" i="7"/>
  <c r="I22" i="7"/>
  <c r="J22" i="7"/>
  <c r="K22" i="7"/>
  <c r="B23" i="7"/>
  <c r="L23" i="7" s="1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L24" i="7" s="1"/>
  <c r="I24" i="7"/>
  <c r="J24" i="7"/>
  <c r="K24" i="7"/>
  <c r="B25" i="7"/>
  <c r="L25" i="7" s="1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L27" i="7" s="1"/>
  <c r="C27" i="7"/>
  <c r="D27" i="7"/>
  <c r="E27" i="7"/>
  <c r="F27" i="7"/>
  <c r="G27" i="7"/>
  <c r="H27" i="7"/>
  <c r="I27" i="7"/>
  <c r="J27" i="7"/>
  <c r="K27" i="7"/>
  <c r="B28" i="7"/>
  <c r="C28" i="7"/>
  <c r="L28" i="7" s="1"/>
  <c r="D28" i="7"/>
  <c r="E28" i="7"/>
  <c r="F28" i="7"/>
  <c r="G28" i="7"/>
  <c r="H28" i="7"/>
  <c r="I28" i="7"/>
  <c r="J28" i="7"/>
  <c r="K28" i="7"/>
  <c r="B29" i="7"/>
  <c r="C29" i="7"/>
  <c r="D29" i="7"/>
  <c r="E29" i="7"/>
  <c r="F29" i="7"/>
  <c r="G29" i="7"/>
  <c r="H29" i="7"/>
  <c r="I29" i="7"/>
  <c r="J29" i="7"/>
  <c r="K29" i="7"/>
  <c r="B30" i="7"/>
  <c r="C30" i="7"/>
  <c r="D30" i="7"/>
  <c r="L30" i="7" s="1"/>
  <c r="E30" i="7"/>
  <c r="F30" i="7"/>
  <c r="G30" i="7"/>
  <c r="H30" i="7"/>
  <c r="I30" i="7"/>
  <c r="J30" i="7"/>
  <c r="K30" i="7"/>
  <c r="B31" i="7"/>
  <c r="C31" i="7"/>
  <c r="D31" i="7"/>
  <c r="E31" i="7"/>
  <c r="F31" i="7"/>
  <c r="G31" i="7"/>
  <c r="H31" i="7"/>
  <c r="I31" i="7"/>
  <c r="J31" i="7"/>
  <c r="K31" i="7"/>
  <c r="B32" i="7"/>
  <c r="C32" i="7"/>
  <c r="D32" i="7"/>
  <c r="E32" i="7"/>
  <c r="F32" i="7"/>
  <c r="G32" i="7"/>
  <c r="H32" i="7"/>
  <c r="I32" i="7"/>
  <c r="J32" i="7"/>
  <c r="K32" i="7"/>
  <c r="B33" i="7"/>
  <c r="L33" i="7" s="1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L35" i="7" s="1"/>
  <c r="C35" i="7"/>
  <c r="D35" i="7"/>
  <c r="E35" i="7"/>
  <c r="F35" i="7"/>
  <c r="G35" i="7"/>
  <c r="H35" i="7"/>
  <c r="I35" i="7"/>
  <c r="J35" i="7"/>
  <c r="K35" i="7"/>
  <c r="B36" i="7"/>
  <c r="C36" i="7"/>
  <c r="L36" i="7" s="1"/>
  <c r="D36" i="7"/>
  <c r="E36" i="7"/>
  <c r="F36" i="7"/>
  <c r="G36" i="7"/>
  <c r="H36" i="7"/>
  <c r="I36" i="7"/>
  <c r="J36" i="7"/>
  <c r="K36" i="7"/>
  <c r="B37" i="7"/>
  <c r="C37" i="7"/>
  <c r="D37" i="7"/>
  <c r="L37" i="7" s="1"/>
  <c r="E37" i="7"/>
  <c r="F37" i="7"/>
  <c r="G37" i="7"/>
  <c r="H37" i="7"/>
  <c r="I37" i="7"/>
  <c r="J37" i="7"/>
  <c r="K37" i="7"/>
  <c r="B38" i="7"/>
  <c r="L38" i="7" s="1"/>
  <c r="C38" i="7"/>
  <c r="D38" i="7"/>
  <c r="E38" i="7"/>
  <c r="F38" i="7"/>
  <c r="G38" i="7"/>
  <c r="H38" i="7"/>
  <c r="I38" i="7"/>
  <c r="J38" i="7"/>
  <c r="K38" i="7"/>
  <c r="B39" i="7"/>
  <c r="L39" i="7" s="1"/>
  <c r="C39" i="7"/>
  <c r="D39" i="7"/>
  <c r="E39" i="7"/>
  <c r="F39" i="7"/>
  <c r="G39" i="7"/>
  <c r="H39" i="7"/>
  <c r="I39" i="7"/>
  <c r="J39" i="7"/>
  <c r="K39" i="7"/>
  <c r="B40" i="7"/>
  <c r="C40" i="7"/>
  <c r="D40" i="7"/>
  <c r="L40" i="7" s="1"/>
  <c r="E40" i="7"/>
  <c r="F40" i="7"/>
  <c r="G40" i="7"/>
  <c r="H40" i="7"/>
  <c r="I40" i="7"/>
  <c r="J40" i="7"/>
  <c r="K40" i="7"/>
  <c r="B41" i="7"/>
  <c r="C41" i="7"/>
  <c r="D41" i="7"/>
  <c r="L41" i="7" s="1"/>
  <c r="E41" i="7"/>
  <c r="F41" i="7"/>
  <c r="G41" i="7"/>
  <c r="H41" i="7"/>
  <c r="I41" i="7"/>
  <c r="J41" i="7"/>
  <c r="K41" i="7"/>
  <c r="B42" i="7"/>
  <c r="L42" i="7" s="1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L44" i="7" s="1"/>
  <c r="I44" i="7"/>
  <c r="J44" i="7"/>
  <c r="K44" i="7"/>
  <c r="B45" i="7"/>
  <c r="C45" i="7"/>
  <c r="D45" i="7"/>
  <c r="E45" i="7"/>
  <c r="F45" i="7"/>
  <c r="L45" i="7" s="1"/>
  <c r="G45" i="7"/>
  <c r="H45" i="7"/>
  <c r="I45" i="7"/>
  <c r="J45" i="7"/>
  <c r="K45" i="7"/>
  <c r="C2" i="7"/>
  <c r="D2" i="7"/>
  <c r="E2" i="7"/>
  <c r="F2" i="7"/>
  <c r="G2" i="7"/>
  <c r="H2" i="7"/>
  <c r="I2" i="7"/>
  <c r="J2" i="7"/>
  <c r="K2" i="7"/>
  <c r="L8" i="7"/>
  <c r="L32" i="7"/>
  <c r="B2" i="7"/>
  <c r="L2" i="7" s="1"/>
  <c r="L43" i="7"/>
  <c r="L31" i="7"/>
  <c r="L29" i="7"/>
  <c r="L16" i="7"/>
  <c r="B2" i="3"/>
  <c r="G22" i="3"/>
  <c r="L2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34" i="7" l="1"/>
  <c r="L26" i="7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2" i="2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2" i="4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2" i="5" l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J2" i="3" l="1"/>
  <c r="K2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C2" i="3"/>
  <c r="D2" i="3"/>
  <c r="E2" i="3"/>
  <c r="F2" i="3"/>
  <c r="G2" i="3"/>
  <c r="H2" i="3"/>
  <c r="I2" i="3"/>
  <c r="C3" i="3"/>
  <c r="D3" i="3"/>
  <c r="E3" i="3"/>
  <c r="F3" i="3"/>
  <c r="G3" i="3"/>
  <c r="H3" i="3"/>
  <c r="I3" i="3"/>
  <c r="C4" i="3"/>
  <c r="D4" i="3"/>
  <c r="E4" i="3"/>
  <c r="F4" i="3"/>
  <c r="G4" i="3"/>
  <c r="H4" i="3"/>
  <c r="I4" i="3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C12" i="3"/>
  <c r="D12" i="3"/>
  <c r="E12" i="3"/>
  <c r="F12" i="3"/>
  <c r="G12" i="3"/>
  <c r="H12" i="3"/>
  <c r="I12" i="3"/>
  <c r="C13" i="3"/>
  <c r="D13" i="3"/>
  <c r="E13" i="3"/>
  <c r="F13" i="3"/>
  <c r="G13" i="3"/>
  <c r="H13" i="3"/>
  <c r="I13" i="3"/>
  <c r="C14" i="3"/>
  <c r="D14" i="3"/>
  <c r="E14" i="3"/>
  <c r="F14" i="3"/>
  <c r="G14" i="3"/>
  <c r="H14" i="3"/>
  <c r="I14" i="3"/>
  <c r="C15" i="3"/>
  <c r="D15" i="3"/>
  <c r="E15" i="3"/>
  <c r="F15" i="3"/>
  <c r="G15" i="3"/>
  <c r="H15" i="3"/>
  <c r="I15" i="3"/>
  <c r="C16" i="3"/>
  <c r="D16" i="3"/>
  <c r="E16" i="3"/>
  <c r="F16" i="3"/>
  <c r="G16" i="3"/>
  <c r="H16" i="3"/>
  <c r="I16" i="3"/>
  <c r="C17" i="3"/>
  <c r="D17" i="3"/>
  <c r="E17" i="3"/>
  <c r="F17" i="3"/>
  <c r="G17" i="3"/>
  <c r="H17" i="3"/>
  <c r="I17" i="3"/>
  <c r="C18" i="3"/>
  <c r="D18" i="3"/>
  <c r="E18" i="3"/>
  <c r="F18" i="3"/>
  <c r="G18" i="3"/>
  <c r="H18" i="3"/>
  <c r="I18" i="3"/>
  <c r="C19" i="3"/>
  <c r="D19" i="3"/>
  <c r="E19" i="3"/>
  <c r="F19" i="3"/>
  <c r="G19" i="3"/>
  <c r="H19" i="3"/>
  <c r="I19" i="3"/>
  <c r="C20" i="3"/>
  <c r="D20" i="3"/>
  <c r="E20" i="3"/>
  <c r="F20" i="3"/>
  <c r="G20" i="3"/>
  <c r="H20" i="3"/>
  <c r="I20" i="3"/>
  <c r="C21" i="3"/>
  <c r="D21" i="3"/>
  <c r="E21" i="3"/>
  <c r="F21" i="3"/>
  <c r="G21" i="3"/>
  <c r="H21" i="3"/>
  <c r="I21" i="3"/>
  <c r="C22" i="3"/>
  <c r="D22" i="3"/>
  <c r="E22" i="3"/>
  <c r="F22" i="3"/>
  <c r="H22" i="3"/>
  <c r="I22" i="3"/>
  <c r="C23" i="3"/>
  <c r="D23" i="3"/>
  <c r="E23" i="3"/>
  <c r="F23" i="3"/>
  <c r="G23" i="3"/>
  <c r="H23" i="3"/>
  <c r="I23" i="3"/>
  <c r="C24" i="3"/>
  <c r="D24" i="3"/>
  <c r="E24" i="3"/>
  <c r="F24" i="3"/>
  <c r="G24" i="3"/>
  <c r="H24" i="3"/>
  <c r="I24" i="3"/>
  <c r="C25" i="3"/>
  <c r="D25" i="3"/>
  <c r="E25" i="3"/>
  <c r="F25" i="3"/>
  <c r="G25" i="3"/>
  <c r="H25" i="3"/>
  <c r="I25" i="3"/>
  <c r="C26" i="3"/>
  <c r="D26" i="3"/>
  <c r="E26" i="3"/>
  <c r="F26" i="3"/>
  <c r="G26" i="3"/>
  <c r="H26" i="3"/>
  <c r="I26" i="3"/>
  <c r="C27" i="3"/>
  <c r="D27" i="3"/>
  <c r="E27" i="3"/>
  <c r="F27" i="3"/>
  <c r="G27" i="3"/>
  <c r="H27" i="3"/>
  <c r="I27" i="3"/>
  <c r="C28" i="3"/>
  <c r="D28" i="3"/>
  <c r="E28" i="3"/>
  <c r="F28" i="3"/>
  <c r="G28" i="3"/>
  <c r="H28" i="3"/>
  <c r="I28" i="3"/>
  <c r="C29" i="3"/>
  <c r="D29" i="3"/>
  <c r="E29" i="3"/>
  <c r="F29" i="3"/>
  <c r="G29" i="3"/>
  <c r="H29" i="3"/>
  <c r="I29" i="3"/>
  <c r="C30" i="3"/>
  <c r="D30" i="3"/>
  <c r="E30" i="3"/>
  <c r="F30" i="3"/>
  <c r="G30" i="3"/>
  <c r="H30" i="3"/>
  <c r="I30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C33" i="3"/>
  <c r="D33" i="3"/>
  <c r="E33" i="3"/>
  <c r="F33" i="3"/>
  <c r="G33" i="3"/>
  <c r="H33" i="3"/>
  <c r="I33" i="3"/>
  <c r="C34" i="3"/>
  <c r="D34" i="3"/>
  <c r="E34" i="3"/>
  <c r="F34" i="3"/>
  <c r="G34" i="3"/>
  <c r="H34" i="3"/>
  <c r="I34" i="3"/>
  <c r="C35" i="3"/>
  <c r="D35" i="3"/>
  <c r="E35" i="3"/>
  <c r="F35" i="3"/>
  <c r="G35" i="3"/>
  <c r="H35" i="3"/>
  <c r="I35" i="3"/>
  <c r="C36" i="3"/>
  <c r="D36" i="3"/>
  <c r="E36" i="3"/>
  <c r="F36" i="3"/>
  <c r="G36" i="3"/>
  <c r="H36" i="3"/>
  <c r="I36" i="3"/>
  <c r="C37" i="3"/>
  <c r="D37" i="3"/>
  <c r="E37" i="3"/>
  <c r="F37" i="3"/>
  <c r="G37" i="3"/>
  <c r="H37" i="3"/>
  <c r="I37" i="3"/>
  <c r="C38" i="3"/>
  <c r="D38" i="3"/>
  <c r="E38" i="3"/>
  <c r="F38" i="3"/>
  <c r="G38" i="3"/>
  <c r="H38" i="3"/>
  <c r="I38" i="3"/>
  <c r="C39" i="3"/>
  <c r="D39" i="3"/>
  <c r="E39" i="3"/>
  <c r="F39" i="3"/>
  <c r="G39" i="3"/>
  <c r="H39" i="3"/>
  <c r="I39" i="3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C42" i="3"/>
  <c r="D42" i="3"/>
  <c r="E42" i="3"/>
  <c r="F42" i="3"/>
  <c r="G42" i="3"/>
  <c r="H42" i="3"/>
  <c r="I42" i="3"/>
  <c r="C43" i="3"/>
  <c r="D43" i="3"/>
  <c r="E43" i="3"/>
  <c r="F43" i="3"/>
  <c r="G43" i="3"/>
  <c r="H43" i="3"/>
  <c r="I43" i="3"/>
  <c r="C44" i="3"/>
  <c r="D44" i="3"/>
  <c r="E44" i="3"/>
  <c r="F44" i="3"/>
  <c r="G44" i="3"/>
  <c r="H44" i="3"/>
  <c r="I44" i="3"/>
  <c r="C45" i="3"/>
  <c r="D45" i="3"/>
  <c r="E45" i="3"/>
  <c r="F45" i="3"/>
  <c r="G45" i="3"/>
  <c r="H45" i="3"/>
  <c r="I4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L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2" i="1"/>
  <c r="L38" i="3" l="1"/>
  <c r="L30" i="3"/>
  <c r="L22" i="3"/>
  <c r="L14" i="3"/>
  <c r="L6" i="3"/>
  <c r="L45" i="3"/>
  <c r="L29" i="3"/>
  <c r="L13" i="3"/>
  <c r="L36" i="3"/>
  <c r="L20" i="3"/>
  <c r="L12" i="3"/>
  <c r="L35" i="3"/>
  <c r="L27" i="3"/>
  <c r="L11" i="3"/>
  <c r="L3" i="3"/>
  <c r="L42" i="3"/>
  <c r="L34" i="3"/>
  <c r="L26" i="3"/>
  <c r="L18" i="3"/>
  <c r="L10" i="3"/>
  <c r="L41" i="3"/>
  <c r="L33" i="3"/>
  <c r="L25" i="3"/>
  <c r="L17" i="3"/>
  <c r="L9" i="3"/>
  <c r="L37" i="3"/>
  <c r="L21" i="3"/>
  <c r="L5" i="3"/>
  <c r="L44" i="3"/>
  <c r="L28" i="3"/>
  <c r="L4" i="3"/>
  <c r="L43" i="3"/>
  <c r="L19" i="3"/>
  <c r="L40" i="3"/>
  <c r="L32" i="3"/>
  <c r="L24" i="3"/>
  <c r="L16" i="3"/>
  <c r="L8" i="3"/>
  <c r="L39" i="3"/>
  <c r="L31" i="3"/>
  <c r="L23" i="3"/>
  <c r="L15" i="3"/>
  <c r="L7" i="3"/>
</calcChain>
</file>

<file path=xl/sharedStrings.xml><?xml version="1.0" encoding="utf-8"?>
<sst xmlns="http://schemas.openxmlformats.org/spreadsheetml/2006/main" count="327" uniqueCount="50">
  <si>
    <t>ゾーン</t>
  </si>
  <si>
    <t>番町</t>
  </si>
  <si>
    <t>東雲</t>
  </si>
  <si>
    <t>八坂</t>
  </si>
  <si>
    <t>素鵞</t>
  </si>
  <si>
    <t>雄郡</t>
  </si>
  <si>
    <t>新玉</t>
  </si>
  <si>
    <t>味酒</t>
  </si>
  <si>
    <t>清水</t>
  </si>
  <si>
    <t>桑原</t>
  </si>
  <si>
    <t>道後</t>
  </si>
  <si>
    <t>味生</t>
  </si>
  <si>
    <t>生石</t>
  </si>
  <si>
    <t>垣生</t>
  </si>
  <si>
    <t>宮前</t>
  </si>
  <si>
    <t>三津浜</t>
  </si>
  <si>
    <t>高浜</t>
  </si>
  <si>
    <t>久枝</t>
  </si>
  <si>
    <t>潮見</t>
  </si>
  <si>
    <t>和気</t>
  </si>
  <si>
    <t>堀江</t>
  </si>
  <si>
    <t>余土</t>
  </si>
  <si>
    <t>由良</t>
  </si>
  <si>
    <t>泊</t>
  </si>
  <si>
    <t>久米</t>
  </si>
  <si>
    <t>湯山</t>
  </si>
  <si>
    <t>日浦</t>
  </si>
  <si>
    <t>伊台</t>
  </si>
  <si>
    <t>五明</t>
  </si>
  <si>
    <t>小野</t>
  </si>
  <si>
    <t>浮穴</t>
  </si>
  <si>
    <t>石井</t>
  </si>
  <si>
    <t>荏原</t>
  </si>
  <si>
    <t>坂本</t>
  </si>
  <si>
    <t>浅海</t>
  </si>
  <si>
    <t>立岩</t>
  </si>
  <si>
    <t>難波</t>
  </si>
  <si>
    <t>正岡</t>
  </si>
  <si>
    <t>北条</t>
  </si>
  <si>
    <t>河野</t>
  </si>
  <si>
    <t>粟井</t>
  </si>
  <si>
    <t>睦野</t>
  </si>
  <si>
    <t>東中島</t>
  </si>
  <si>
    <t>西中島</t>
  </si>
  <si>
    <t>神和</t>
  </si>
  <si>
    <t>期間中増減</t>
    <rPh sb="0" eb="3">
      <t>キカンチュウ</t>
    </rPh>
    <rPh sb="3" eb="5">
      <t>ゾウゲn</t>
    </rPh>
    <phoneticPr fontId="18"/>
  </si>
  <si>
    <t>期間中増減率</t>
    <rPh sb="0" eb="3">
      <t>キカンチュウ</t>
    </rPh>
    <rPh sb="3" eb="6">
      <t>ゾウゲn</t>
    </rPh>
    <phoneticPr fontId="18"/>
  </si>
  <si>
    <t>期間中増減数</t>
    <rPh sb="0" eb="3">
      <t>キカンチュウ</t>
    </rPh>
    <rPh sb="3" eb="5">
      <t>ゾウゲn</t>
    </rPh>
    <rPh sb="5" eb="6">
      <t>スウ</t>
    </rPh>
    <phoneticPr fontId="18"/>
  </si>
  <si>
    <t>期間中増減率</t>
    <rPh sb="0" eb="6">
      <t>キカンチュウ</t>
    </rPh>
    <phoneticPr fontId="18"/>
  </si>
  <si>
    <t>期間中平均移動率</t>
    <rPh sb="0" eb="3">
      <t>キカンチュウ</t>
    </rPh>
    <rPh sb="3" eb="5">
      <t>ヘイキn</t>
    </rPh>
    <rPh sb="5" eb="8">
      <t>イドウ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</si>
</sst>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38" fontId="19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3" xr:uid="{6C1FF6A4-042D-7C4C-8C95-D032E528B778}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8D540A56-9A15-8E4C-87F0-F817B04DD785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5975-ECA2-CB49-A663-569E275C927F}">
  <dimension ref="A1:M45"/>
  <sheetViews>
    <sheetView zoomScale="90" workbookViewId="0">
      <selection activeCell="M2" sqref="M2:M45"/>
    </sheetView>
  </sheetViews>
  <sheetFormatPr baseColWidth="10" defaultRowHeight="20"/>
  <sheetData>
    <row r="1" spans="1:13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t="s">
        <v>45</v>
      </c>
      <c r="M1" t="s">
        <v>48</v>
      </c>
    </row>
    <row r="2" spans="1:13">
      <c r="A2" t="s">
        <v>1</v>
      </c>
      <c r="B2">
        <v>277</v>
      </c>
      <c r="C2">
        <v>232</v>
      </c>
      <c r="D2">
        <v>276</v>
      </c>
      <c r="E2">
        <v>321</v>
      </c>
      <c r="F2">
        <v>216</v>
      </c>
      <c r="G2">
        <v>196</v>
      </c>
      <c r="H2">
        <v>166</v>
      </c>
      <c r="I2">
        <v>234</v>
      </c>
      <c r="J2">
        <v>249</v>
      </c>
      <c r="K2">
        <v>190</v>
      </c>
      <c r="L2">
        <f>K2-B2</f>
        <v>-87</v>
      </c>
      <c r="M2">
        <f>K2/B2*100 - 100</f>
        <v>-31.407942238267154</v>
      </c>
    </row>
    <row r="3" spans="1:13">
      <c r="A3" t="s">
        <v>2</v>
      </c>
      <c r="B3">
        <v>513</v>
      </c>
      <c r="C3">
        <v>415</v>
      </c>
      <c r="D3">
        <v>490</v>
      </c>
      <c r="E3">
        <v>484</v>
      </c>
      <c r="F3">
        <v>471</v>
      </c>
      <c r="G3">
        <v>444</v>
      </c>
      <c r="H3">
        <v>425</v>
      </c>
      <c r="I3">
        <v>468</v>
      </c>
      <c r="J3">
        <v>384</v>
      </c>
      <c r="K3">
        <v>390</v>
      </c>
      <c r="L3">
        <f t="shared" ref="L3:L45" si="0">K3-B3</f>
        <v>-123</v>
      </c>
      <c r="M3">
        <f t="shared" ref="M3:M45" si="1">K3/B3*100 - 100</f>
        <v>-23.976608187134502</v>
      </c>
    </row>
    <row r="4" spans="1:13">
      <c r="A4" t="s">
        <v>3</v>
      </c>
      <c r="B4">
        <v>348</v>
      </c>
      <c r="C4">
        <v>331</v>
      </c>
      <c r="D4">
        <v>329</v>
      </c>
      <c r="E4">
        <v>316</v>
      </c>
      <c r="F4">
        <v>319</v>
      </c>
      <c r="G4">
        <v>287</v>
      </c>
      <c r="H4">
        <v>335</v>
      </c>
      <c r="I4">
        <v>289</v>
      </c>
      <c r="J4">
        <v>292</v>
      </c>
      <c r="K4">
        <v>300</v>
      </c>
      <c r="L4">
        <f t="shared" si="0"/>
        <v>-48</v>
      </c>
      <c r="M4">
        <f t="shared" si="1"/>
        <v>-13.793103448275872</v>
      </c>
    </row>
    <row r="5" spans="1:13">
      <c r="A5" t="s">
        <v>4</v>
      </c>
      <c r="B5">
        <v>1420</v>
      </c>
      <c r="C5">
        <v>1322</v>
      </c>
      <c r="D5">
        <v>1371</v>
      </c>
      <c r="E5">
        <v>1303</v>
      </c>
      <c r="F5">
        <v>1318</v>
      </c>
      <c r="G5">
        <v>1269</v>
      </c>
      <c r="H5">
        <v>1261</v>
      </c>
      <c r="I5">
        <v>1228</v>
      </c>
      <c r="J5">
        <v>1134</v>
      </c>
      <c r="K5">
        <v>1138</v>
      </c>
      <c r="L5">
        <f t="shared" si="0"/>
        <v>-282</v>
      </c>
      <c r="M5">
        <f t="shared" si="1"/>
        <v>-19.859154929577457</v>
      </c>
    </row>
    <row r="6" spans="1:13">
      <c r="A6" t="s">
        <v>5</v>
      </c>
      <c r="B6">
        <v>2135</v>
      </c>
      <c r="C6">
        <v>1960</v>
      </c>
      <c r="D6">
        <v>1905</v>
      </c>
      <c r="E6">
        <v>1869</v>
      </c>
      <c r="F6">
        <v>1939</v>
      </c>
      <c r="G6">
        <v>1908</v>
      </c>
      <c r="H6">
        <v>1876</v>
      </c>
      <c r="I6">
        <v>1828</v>
      </c>
      <c r="J6">
        <v>1646</v>
      </c>
      <c r="K6">
        <v>1702</v>
      </c>
      <c r="L6">
        <f t="shared" si="0"/>
        <v>-433</v>
      </c>
      <c r="M6">
        <f t="shared" si="1"/>
        <v>-20.28103044496487</v>
      </c>
    </row>
    <row r="7" spans="1:13">
      <c r="A7" t="s">
        <v>6</v>
      </c>
      <c r="B7">
        <v>810</v>
      </c>
      <c r="C7">
        <v>699</v>
      </c>
      <c r="D7">
        <v>761</v>
      </c>
      <c r="E7">
        <v>868</v>
      </c>
      <c r="F7">
        <v>748</v>
      </c>
      <c r="G7">
        <v>711</v>
      </c>
      <c r="H7">
        <v>750</v>
      </c>
      <c r="I7">
        <v>652</v>
      </c>
      <c r="J7">
        <v>694</v>
      </c>
      <c r="K7">
        <v>655</v>
      </c>
      <c r="L7">
        <f t="shared" si="0"/>
        <v>-155</v>
      </c>
      <c r="M7">
        <f t="shared" si="1"/>
        <v>-19.135802469135797</v>
      </c>
    </row>
    <row r="8" spans="1:13">
      <c r="A8" t="s">
        <v>7</v>
      </c>
      <c r="B8">
        <v>1149</v>
      </c>
      <c r="C8">
        <v>1131</v>
      </c>
      <c r="D8">
        <v>1121</v>
      </c>
      <c r="E8">
        <v>1219</v>
      </c>
      <c r="F8">
        <v>1066</v>
      </c>
      <c r="G8">
        <v>1132</v>
      </c>
      <c r="H8">
        <v>1089</v>
      </c>
      <c r="I8">
        <v>1064</v>
      </c>
      <c r="J8">
        <v>949</v>
      </c>
      <c r="K8">
        <v>968</v>
      </c>
      <c r="L8">
        <f t="shared" si="0"/>
        <v>-181</v>
      </c>
      <c r="M8">
        <f t="shared" si="1"/>
        <v>-15.752828546562228</v>
      </c>
    </row>
    <row r="9" spans="1:13">
      <c r="A9" t="s">
        <v>8</v>
      </c>
      <c r="B9">
        <v>1547</v>
      </c>
      <c r="C9">
        <v>1519</v>
      </c>
      <c r="D9">
        <v>1413</v>
      </c>
      <c r="E9">
        <v>1378</v>
      </c>
      <c r="F9">
        <v>1372</v>
      </c>
      <c r="G9">
        <v>1466</v>
      </c>
      <c r="H9">
        <v>1468</v>
      </c>
      <c r="I9">
        <v>1357</v>
      </c>
      <c r="J9">
        <v>1140</v>
      </c>
      <c r="K9">
        <v>1377</v>
      </c>
      <c r="L9">
        <f t="shared" si="0"/>
        <v>-170</v>
      </c>
      <c r="M9">
        <f t="shared" si="1"/>
        <v>-10.989010989010993</v>
      </c>
    </row>
    <row r="10" spans="1:13">
      <c r="A10" t="s">
        <v>9</v>
      </c>
      <c r="B10">
        <v>1427</v>
      </c>
      <c r="C10">
        <v>1480</v>
      </c>
      <c r="D10">
        <v>1358</v>
      </c>
      <c r="E10">
        <v>1366</v>
      </c>
      <c r="F10">
        <v>1411</v>
      </c>
      <c r="G10">
        <v>1375</v>
      </c>
      <c r="H10">
        <v>1253</v>
      </c>
      <c r="I10">
        <v>1276</v>
      </c>
      <c r="J10">
        <v>1256</v>
      </c>
      <c r="K10">
        <v>1180</v>
      </c>
      <c r="L10">
        <f t="shared" si="0"/>
        <v>-247</v>
      </c>
      <c r="M10">
        <f t="shared" si="1"/>
        <v>-17.30903994393833</v>
      </c>
    </row>
    <row r="11" spans="1:13">
      <c r="A11" t="s">
        <v>10</v>
      </c>
      <c r="B11">
        <v>1336</v>
      </c>
      <c r="C11">
        <v>1312</v>
      </c>
      <c r="D11">
        <v>1175</v>
      </c>
      <c r="E11">
        <v>1264</v>
      </c>
      <c r="F11">
        <v>1171</v>
      </c>
      <c r="G11">
        <v>1088</v>
      </c>
      <c r="H11">
        <v>1197</v>
      </c>
      <c r="I11">
        <v>1227</v>
      </c>
      <c r="J11">
        <v>1066</v>
      </c>
      <c r="K11">
        <v>1137</v>
      </c>
      <c r="L11">
        <f t="shared" si="0"/>
        <v>-199</v>
      </c>
      <c r="M11">
        <f t="shared" si="1"/>
        <v>-14.895209580838326</v>
      </c>
    </row>
    <row r="12" spans="1:13">
      <c r="A12" t="s">
        <v>11</v>
      </c>
      <c r="B12">
        <v>1425</v>
      </c>
      <c r="C12">
        <v>1392</v>
      </c>
      <c r="D12">
        <v>1295</v>
      </c>
      <c r="E12">
        <v>1371</v>
      </c>
      <c r="F12">
        <v>1348</v>
      </c>
      <c r="G12">
        <v>1400</v>
      </c>
      <c r="H12">
        <v>1355</v>
      </c>
      <c r="I12">
        <v>1143</v>
      </c>
      <c r="J12">
        <v>1197</v>
      </c>
      <c r="K12">
        <v>1198</v>
      </c>
      <c r="L12">
        <f t="shared" si="0"/>
        <v>-227</v>
      </c>
      <c r="M12">
        <f t="shared" si="1"/>
        <v>-15.929824561403507</v>
      </c>
    </row>
    <row r="13" spans="1:13">
      <c r="A13" t="s">
        <v>12</v>
      </c>
      <c r="B13">
        <v>967</v>
      </c>
      <c r="C13">
        <v>828</v>
      </c>
      <c r="D13">
        <v>839</v>
      </c>
      <c r="E13">
        <v>843</v>
      </c>
      <c r="F13">
        <v>902</v>
      </c>
      <c r="G13">
        <v>916</v>
      </c>
      <c r="H13">
        <v>798</v>
      </c>
      <c r="I13">
        <v>738</v>
      </c>
      <c r="J13">
        <v>781</v>
      </c>
      <c r="K13">
        <v>728</v>
      </c>
      <c r="L13">
        <f t="shared" si="0"/>
        <v>-239</v>
      </c>
      <c r="M13">
        <f t="shared" si="1"/>
        <v>-24.715615305067217</v>
      </c>
    </row>
    <row r="14" spans="1:13">
      <c r="A14" t="s">
        <v>13</v>
      </c>
      <c r="B14">
        <v>499</v>
      </c>
      <c r="C14">
        <v>454</v>
      </c>
      <c r="D14">
        <v>417</v>
      </c>
      <c r="E14">
        <v>447</v>
      </c>
      <c r="F14">
        <v>529</v>
      </c>
      <c r="G14">
        <v>599</v>
      </c>
      <c r="H14">
        <v>432</v>
      </c>
      <c r="I14">
        <v>321</v>
      </c>
      <c r="J14">
        <v>338</v>
      </c>
      <c r="K14">
        <v>341</v>
      </c>
      <c r="L14">
        <f t="shared" si="0"/>
        <v>-158</v>
      </c>
      <c r="M14">
        <f t="shared" si="1"/>
        <v>-31.663326653306612</v>
      </c>
    </row>
    <row r="15" spans="1:13">
      <c r="A15" t="s">
        <v>14</v>
      </c>
      <c r="B15">
        <v>634</v>
      </c>
      <c r="C15">
        <v>590</v>
      </c>
      <c r="D15">
        <v>538</v>
      </c>
      <c r="E15">
        <v>580</v>
      </c>
      <c r="F15">
        <v>510</v>
      </c>
      <c r="G15">
        <v>529</v>
      </c>
      <c r="H15">
        <v>514</v>
      </c>
      <c r="I15">
        <v>494</v>
      </c>
      <c r="J15">
        <v>523</v>
      </c>
      <c r="K15">
        <v>452</v>
      </c>
      <c r="L15">
        <f t="shared" si="0"/>
        <v>-182</v>
      </c>
      <c r="M15">
        <f t="shared" si="1"/>
        <v>-28.706624605678229</v>
      </c>
    </row>
    <row r="16" spans="1:13">
      <c r="A16" t="s">
        <v>15</v>
      </c>
      <c r="B16">
        <v>264</v>
      </c>
      <c r="C16">
        <v>234</v>
      </c>
      <c r="D16">
        <v>250</v>
      </c>
      <c r="E16">
        <v>268</v>
      </c>
      <c r="F16">
        <v>232</v>
      </c>
      <c r="G16">
        <v>235</v>
      </c>
      <c r="H16">
        <v>233</v>
      </c>
      <c r="I16">
        <v>192</v>
      </c>
      <c r="J16">
        <v>174</v>
      </c>
      <c r="K16">
        <v>163</v>
      </c>
      <c r="L16">
        <f t="shared" si="0"/>
        <v>-101</v>
      </c>
      <c r="M16">
        <f t="shared" si="1"/>
        <v>-38.257575757575758</v>
      </c>
    </row>
    <row r="17" spans="1:13">
      <c r="A17" t="s">
        <v>16</v>
      </c>
      <c r="B17">
        <v>249</v>
      </c>
      <c r="C17">
        <v>240</v>
      </c>
      <c r="D17">
        <v>266</v>
      </c>
      <c r="E17">
        <v>256</v>
      </c>
      <c r="F17">
        <v>281</v>
      </c>
      <c r="G17">
        <v>235</v>
      </c>
      <c r="H17">
        <v>253</v>
      </c>
      <c r="I17">
        <v>193</v>
      </c>
      <c r="J17">
        <v>202</v>
      </c>
      <c r="K17">
        <v>180</v>
      </c>
      <c r="L17">
        <f t="shared" si="0"/>
        <v>-69</v>
      </c>
      <c r="M17">
        <f t="shared" si="1"/>
        <v>-27.710843373493972</v>
      </c>
    </row>
    <row r="18" spans="1:13">
      <c r="A18" t="s">
        <v>17</v>
      </c>
      <c r="B18">
        <v>1162</v>
      </c>
      <c r="C18">
        <v>1170</v>
      </c>
      <c r="D18">
        <v>1104</v>
      </c>
      <c r="E18">
        <v>1071</v>
      </c>
      <c r="F18">
        <v>1147</v>
      </c>
      <c r="G18">
        <v>1029</v>
      </c>
      <c r="H18">
        <v>1098</v>
      </c>
      <c r="I18">
        <v>943</v>
      </c>
      <c r="J18">
        <v>917</v>
      </c>
      <c r="K18">
        <v>906</v>
      </c>
      <c r="L18">
        <f t="shared" si="0"/>
        <v>-256</v>
      </c>
      <c r="M18">
        <f t="shared" si="1"/>
        <v>-22.030981067125637</v>
      </c>
    </row>
    <row r="19" spans="1:13">
      <c r="A19" t="s">
        <v>18</v>
      </c>
      <c r="B19">
        <v>699</v>
      </c>
      <c r="C19">
        <v>622</v>
      </c>
      <c r="D19">
        <v>673</v>
      </c>
      <c r="E19">
        <v>577</v>
      </c>
      <c r="F19">
        <v>670</v>
      </c>
      <c r="G19">
        <v>525</v>
      </c>
      <c r="H19">
        <v>585</v>
      </c>
      <c r="I19">
        <v>486</v>
      </c>
      <c r="J19">
        <v>498</v>
      </c>
      <c r="K19">
        <v>533</v>
      </c>
      <c r="L19">
        <f t="shared" si="0"/>
        <v>-166</v>
      </c>
      <c r="M19">
        <f t="shared" si="1"/>
        <v>-23.74821173104435</v>
      </c>
    </row>
    <row r="20" spans="1:13">
      <c r="A20" t="s">
        <v>19</v>
      </c>
      <c r="B20">
        <v>491</v>
      </c>
      <c r="C20">
        <v>490</v>
      </c>
      <c r="D20">
        <v>472</v>
      </c>
      <c r="E20">
        <v>498</v>
      </c>
      <c r="F20">
        <v>504</v>
      </c>
      <c r="G20">
        <v>556</v>
      </c>
      <c r="H20">
        <v>441</v>
      </c>
      <c r="I20">
        <v>471</v>
      </c>
      <c r="J20">
        <v>429</v>
      </c>
      <c r="K20">
        <v>368</v>
      </c>
      <c r="L20">
        <f t="shared" si="0"/>
        <v>-123</v>
      </c>
      <c r="M20">
        <f t="shared" si="1"/>
        <v>-25.050916496945007</v>
      </c>
    </row>
    <row r="21" spans="1:13">
      <c r="A21" t="s">
        <v>20</v>
      </c>
      <c r="B21">
        <v>442</v>
      </c>
      <c r="C21">
        <v>382</v>
      </c>
      <c r="D21">
        <v>486</v>
      </c>
      <c r="E21">
        <v>451</v>
      </c>
      <c r="F21">
        <v>460</v>
      </c>
      <c r="G21">
        <v>437</v>
      </c>
      <c r="H21">
        <v>429</v>
      </c>
      <c r="I21">
        <v>481</v>
      </c>
      <c r="J21">
        <v>408</v>
      </c>
      <c r="K21">
        <v>385</v>
      </c>
      <c r="L21">
        <f t="shared" si="0"/>
        <v>-57</v>
      </c>
      <c r="M21">
        <f t="shared" si="1"/>
        <v>-12.895927601809959</v>
      </c>
    </row>
    <row r="22" spans="1:13">
      <c r="A22" t="s">
        <v>21</v>
      </c>
      <c r="B22">
        <v>1170</v>
      </c>
      <c r="C22">
        <v>1116</v>
      </c>
      <c r="D22">
        <v>1105</v>
      </c>
      <c r="E22">
        <v>1125</v>
      </c>
      <c r="F22">
        <v>1192</v>
      </c>
      <c r="G22">
        <v>1034</v>
      </c>
      <c r="H22">
        <v>1156</v>
      </c>
      <c r="I22">
        <v>1005</v>
      </c>
      <c r="J22">
        <v>972</v>
      </c>
      <c r="K22">
        <v>928</v>
      </c>
      <c r="L22">
        <f t="shared" si="0"/>
        <v>-242</v>
      </c>
      <c r="M22">
        <f t="shared" si="1"/>
        <v>-20.683760683760681</v>
      </c>
    </row>
    <row r="23" spans="1:13">
      <c r="A23" t="s">
        <v>22</v>
      </c>
      <c r="B23">
        <v>10</v>
      </c>
      <c r="C23">
        <v>15</v>
      </c>
      <c r="D23">
        <v>25</v>
      </c>
      <c r="E23">
        <v>13</v>
      </c>
      <c r="F23">
        <v>15</v>
      </c>
      <c r="G23">
        <v>19</v>
      </c>
      <c r="H23">
        <v>10</v>
      </c>
      <c r="I23">
        <v>18</v>
      </c>
      <c r="J23">
        <v>30</v>
      </c>
      <c r="K23">
        <v>18</v>
      </c>
      <c r="L23">
        <f t="shared" si="0"/>
        <v>8</v>
      </c>
      <c r="M23">
        <f t="shared" si="1"/>
        <v>80</v>
      </c>
    </row>
    <row r="24" spans="1:13">
      <c r="A24" t="s">
        <v>23</v>
      </c>
      <c r="B24">
        <v>23</v>
      </c>
      <c r="C24">
        <v>6</v>
      </c>
      <c r="D24">
        <v>16</v>
      </c>
      <c r="E24">
        <v>5</v>
      </c>
      <c r="F24">
        <v>8</v>
      </c>
      <c r="G24">
        <v>9</v>
      </c>
      <c r="H24">
        <v>10</v>
      </c>
      <c r="I24">
        <v>15</v>
      </c>
      <c r="J24">
        <v>14</v>
      </c>
      <c r="K24">
        <v>23</v>
      </c>
      <c r="L24">
        <f t="shared" si="0"/>
        <v>0</v>
      </c>
      <c r="M24">
        <f t="shared" si="1"/>
        <v>0</v>
      </c>
    </row>
    <row r="25" spans="1:13">
      <c r="A25" t="s">
        <v>24</v>
      </c>
      <c r="B25">
        <v>1672</v>
      </c>
      <c r="C25">
        <v>1646</v>
      </c>
      <c r="D25">
        <v>1573</v>
      </c>
      <c r="E25">
        <v>1687</v>
      </c>
      <c r="F25">
        <v>1555</v>
      </c>
      <c r="G25">
        <v>1541</v>
      </c>
      <c r="H25">
        <v>1518</v>
      </c>
      <c r="I25">
        <v>1431</v>
      </c>
      <c r="J25">
        <v>1335</v>
      </c>
      <c r="K25">
        <v>1338</v>
      </c>
      <c r="L25">
        <f t="shared" si="0"/>
        <v>-334</v>
      </c>
      <c r="M25">
        <f t="shared" si="1"/>
        <v>-19.976076555023923</v>
      </c>
    </row>
    <row r="26" spans="1:13">
      <c r="A26" t="s">
        <v>25</v>
      </c>
      <c r="B26">
        <v>272</v>
      </c>
      <c r="C26">
        <v>260</v>
      </c>
      <c r="D26">
        <v>253</v>
      </c>
      <c r="E26">
        <v>256</v>
      </c>
      <c r="F26">
        <v>261</v>
      </c>
      <c r="G26">
        <v>227</v>
      </c>
      <c r="H26">
        <v>224</v>
      </c>
      <c r="I26">
        <v>243</v>
      </c>
      <c r="J26">
        <v>222</v>
      </c>
      <c r="K26">
        <v>234</v>
      </c>
      <c r="L26">
        <f t="shared" si="0"/>
        <v>-38</v>
      </c>
      <c r="M26">
        <f t="shared" si="1"/>
        <v>-13.970588235294116</v>
      </c>
    </row>
    <row r="27" spans="1:13">
      <c r="A27" t="s">
        <v>26</v>
      </c>
      <c r="B27">
        <v>15</v>
      </c>
      <c r="C27">
        <v>8</v>
      </c>
      <c r="D27">
        <v>2</v>
      </c>
      <c r="E27">
        <v>12</v>
      </c>
      <c r="F27">
        <v>8</v>
      </c>
      <c r="G27">
        <v>3</v>
      </c>
      <c r="H27">
        <v>12</v>
      </c>
      <c r="I27">
        <v>6</v>
      </c>
      <c r="J27">
        <v>4</v>
      </c>
      <c r="K27">
        <v>4</v>
      </c>
      <c r="L27">
        <f t="shared" si="0"/>
        <v>-11</v>
      </c>
      <c r="M27">
        <f t="shared" si="1"/>
        <v>-73.333333333333329</v>
      </c>
    </row>
    <row r="28" spans="1:13">
      <c r="A28" t="s">
        <v>27</v>
      </c>
      <c r="B28">
        <v>135</v>
      </c>
      <c r="C28">
        <v>199</v>
      </c>
      <c r="D28">
        <v>175</v>
      </c>
      <c r="E28">
        <v>188</v>
      </c>
      <c r="F28">
        <v>146</v>
      </c>
      <c r="G28">
        <v>131</v>
      </c>
      <c r="H28">
        <v>121</v>
      </c>
      <c r="I28">
        <v>135</v>
      </c>
      <c r="J28">
        <v>119</v>
      </c>
      <c r="K28">
        <v>105</v>
      </c>
      <c r="L28">
        <f t="shared" si="0"/>
        <v>-30</v>
      </c>
      <c r="M28">
        <f t="shared" si="1"/>
        <v>-22.222222222222214</v>
      </c>
    </row>
    <row r="29" spans="1:13">
      <c r="A29" t="s">
        <v>28</v>
      </c>
      <c r="B29">
        <v>20</v>
      </c>
      <c r="C29">
        <v>23</v>
      </c>
      <c r="D29">
        <v>8</v>
      </c>
      <c r="E29">
        <v>9</v>
      </c>
      <c r="F29">
        <v>12</v>
      </c>
      <c r="G29">
        <v>28</v>
      </c>
      <c r="H29">
        <v>11</v>
      </c>
      <c r="I29">
        <v>11</v>
      </c>
      <c r="J29">
        <v>8</v>
      </c>
      <c r="K29">
        <v>10</v>
      </c>
      <c r="L29">
        <f t="shared" si="0"/>
        <v>-10</v>
      </c>
      <c r="M29">
        <f t="shared" si="1"/>
        <v>-50</v>
      </c>
    </row>
    <row r="30" spans="1:13">
      <c r="A30" t="s">
        <v>29</v>
      </c>
      <c r="B30">
        <v>580</v>
      </c>
      <c r="C30">
        <v>528</v>
      </c>
      <c r="D30">
        <v>528</v>
      </c>
      <c r="E30">
        <v>592</v>
      </c>
      <c r="F30">
        <v>481</v>
      </c>
      <c r="G30">
        <v>469</v>
      </c>
      <c r="H30">
        <v>497</v>
      </c>
      <c r="I30">
        <v>478</v>
      </c>
      <c r="J30">
        <v>471</v>
      </c>
      <c r="K30">
        <v>426</v>
      </c>
      <c r="L30">
        <f t="shared" si="0"/>
        <v>-154</v>
      </c>
      <c r="M30">
        <f t="shared" si="1"/>
        <v>-26.551724137931032</v>
      </c>
    </row>
    <row r="31" spans="1:13">
      <c r="A31" t="s">
        <v>30</v>
      </c>
      <c r="B31">
        <v>385</v>
      </c>
      <c r="C31">
        <v>419</v>
      </c>
      <c r="D31">
        <v>354</v>
      </c>
      <c r="E31">
        <v>318</v>
      </c>
      <c r="F31">
        <v>360</v>
      </c>
      <c r="G31">
        <v>426</v>
      </c>
      <c r="H31">
        <v>278</v>
      </c>
      <c r="I31">
        <v>350</v>
      </c>
      <c r="J31">
        <v>297</v>
      </c>
      <c r="K31">
        <v>259</v>
      </c>
      <c r="L31">
        <f t="shared" si="0"/>
        <v>-126</v>
      </c>
      <c r="M31">
        <f t="shared" si="1"/>
        <v>-32.727272727272734</v>
      </c>
    </row>
    <row r="32" spans="1:13">
      <c r="A32" t="s">
        <v>31</v>
      </c>
      <c r="B32">
        <v>3443</v>
      </c>
      <c r="C32">
        <v>3231</v>
      </c>
      <c r="D32">
        <v>3473</v>
      </c>
      <c r="E32">
        <v>3336</v>
      </c>
      <c r="F32">
        <v>3502</v>
      </c>
      <c r="G32">
        <v>3290</v>
      </c>
      <c r="H32">
        <v>3049</v>
      </c>
      <c r="I32">
        <v>2936</v>
      </c>
      <c r="J32">
        <v>2836</v>
      </c>
      <c r="K32">
        <v>2633</v>
      </c>
      <c r="L32">
        <f t="shared" si="0"/>
        <v>-810</v>
      </c>
      <c r="M32">
        <f t="shared" si="1"/>
        <v>-23.525994772001155</v>
      </c>
    </row>
    <row r="33" spans="1:13">
      <c r="A33" t="s">
        <v>32</v>
      </c>
      <c r="B33">
        <v>192</v>
      </c>
      <c r="C33">
        <v>225</v>
      </c>
      <c r="D33">
        <v>192</v>
      </c>
      <c r="E33">
        <v>208</v>
      </c>
      <c r="F33">
        <v>204</v>
      </c>
      <c r="G33">
        <v>244</v>
      </c>
      <c r="H33">
        <v>198</v>
      </c>
      <c r="I33">
        <v>183</v>
      </c>
      <c r="J33">
        <v>235</v>
      </c>
      <c r="K33">
        <v>206</v>
      </c>
      <c r="L33">
        <f t="shared" si="0"/>
        <v>14</v>
      </c>
      <c r="M33">
        <f t="shared" si="1"/>
        <v>7.2916666666666714</v>
      </c>
    </row>
    <row r="34" spans="1:13">
      <c r="A34" t="s">
        <v>33</v>
      </c>
      <c r="B34">
        <v>46</v>
      </c>
      <c r="C34">
        <v>26</v>
      </c>
      <c r="D34">
        <v>39</v>
      </c>
      <c r="E34">
        <v>34</v>
      </c>
      <c r="F34">
        <v>34</v>
      </c>
      <c r="G34">
        <v>36</v>
      </c>
      <c r="H34">
        <v>39</v>
      </c>
      <c r="I34">
        <v>38</v>
      </c>
      <c r="J34">
        <v>20</v>
      </c>
      <c r="K34">
        <v>38</v>
      </c>
      <c r="L34">
        <f t="shared" si="0"/>
        <v>-8</v>
      </c>
      <c r="M34">
        <f t="shared" si="1"/>
        <v>-17.391304347826093</v>
      </c>
    </row>
    <row r="35" spans="1:13">
      <c r="A35" t="s">
        <v>34</v>
      </c>
      <c r="B35">
        <v>23</v>
      </c>
      <c r="C35">
        <v>32</v>
      </c>
      <c r="D35">
        <v>32</v>
      </c>
      <c r="E35">
        <v>36</v>
      </c>
      <c r="F35">
        <v>28</v>
      </c>
      <c r="G35">
        <v>26</v>
      </c>
      <c r="H35">
        <v>25</v>
      </c>
      <c r="I35">
        <v>28</v>
      </c>
      <c r="J35">
        <v>15</v>
      </c>
      <c r="K35">
        <v>25</v>
      </c>
      <c r="L35">
        <f t="shared" si="0"/>
        <v>2</v>
      </c>
      <c r="M35">
        <f t="shared" si="1"/>
        <v>8.6956521739130324</v>
      </c>
    </row>
    <row r="36" spans="1:13">
      <c r="A36" t="s">
        <v>35</v>
      </c>
      <c r="B36">
        <v>20</v>
      </c>
      <c r="C36">
        <v>16</v>
      </c>
      <c r="D36">
        <v>8</v>
      </c>
      <c r="E36">
        <v>32</v>
      </c>
      <c r="F36">
        <v>13</v>
      </c>
      <c r="G36">
        <v>13</v>
      </c>
      <c r="H36">
        <v>21</v>
      </c>
      <c r="I36">
        <v>9</v>
      </c>
      <c r="J36">
        <v>30</v>
      </c>
      <c r="K36">
        <v>14</v>
      </c>
      <c r="L36">
        <f t="shared" si="0"/>
        <v>-6</v>
      </c>
      <c r="M36">
        <f t="shared" si="1"/>
        <v>-30</v>
      </c>
    </row>
    <row r="37" spans="1:13">
      <c r="A37" t="s">
        <v>36</v>
      </c>
      <c r="B37">
        <v>56</v>
      </c>
      <c r="C37">
        <v>37</v>
      </c>
      <c r="D37">
        <v>77</v>
      </c>
      <c r="E37">
        <v>61</v>
      </c>
      <c r="F37">
        <v>84</v>
      </c>
      <c r="G37">
        <v>78</v>
      </c>
      <c r="H37">
        <v>58</v>
      </c>
      <c r="I37">
        <v>59</v>
      </c>
      <c r="J37">
        <v>27</v>
      </c>
      <c r="K37">
        <v>80</v>
      </c>
      <c r="L37">
        <f t="shared" si="0"/>
        <v>24</v>
      </c>
      <c r="M37">
        <f t="shared" si="1"/>
        <v>42.857142857142861</v>
      </c>
    </row>
    <row r="38" spans="1:13">
      <c r="A38" t="s">
        <v>37</v>
      </c>
      <c r="B38">
        <v>56</v>
      </c>
      <c r="C38">
        <v>62</v>
      </c>
      <c r="D38">
        <v>61</v>
      </c>
      <c r="E38">
        <v>54</v>
      </c>
      <c r="F38">
        <v>53</v>
      </c>
      <c r="G38">
        <v>61</v>
      </c>
      <c r="H38">
        <v>64</v>
      </c>
      <c r="I38">
        <v>31</v>
      </c>
      <c r="J38">
        <v>43</v>
      </c>
      <c r="K38">
        <v>37</v>
      </c>
      <c r="L38">
        <f t="shared" si="0"/>
        <v>-19</v>
      </c>
      <c r="M38">
        <f t="shared" si="1"/>
        <v>-33.928571428571431</v>
      </c>
    </row>
    <row r="39" spans="1:13">
      <c r="A39" t="s">
        <v>38</v>
      </c>
      <c r="B39">
        <v>397</v>
      </c>
      <c r="C39">
        <v>315</v>
      </c>
      <c r="D39">
        <v>296</v>
      </c>
      <c r="E39">
        <v>356</v>
      </c>
      <c r="F39">
        <v>275</v>
      </c>
      <c r="G39">
        <v>224</v>
      </c>
      <c r="H39">
        <v>370</v>
      </c>
      <c r="I39">
        <v>310</v>
      </c>
      <c r="J39">
        <v>297</v>
      </c>
      <c r="K39">
        <v>310</v>
      </c>
      <c r="L39">
        <f t="shared" si="0"/>
        <v>-87</v>
      </c>
      <c r="M39">
        <f t="shared" si="1"/>
        <v>-21.914357682619652</v>
      </c>
    </row>
    <row r="40" spans="1:13">
      <c r="A40" t="s">
        <v>39</v>
      </c>
      <c r="B40">
        <v>162</v>
      </c>
      <c r="C40">
        <v>153</v>
      </c>
      <c r="D40">
        <v>202</v>
      </c>
      <c r="E40">
        <v>172</v>
      </c>
      <c r="F40">
        <v>141</v>
      </c>
      <c r="G40">
        <v>146</v>
      </c>
      <c r="H40">
        <v>165</v>
      </c>
      <c r="I40">
        <v>153</v>
      </c>
      <c r="J40">
        <v>125</v>
      </c>
      <c r="K40">
        <v>111</v>
      </c>
      <c r="L40">
        <f t="shared" si="0"/>
        <v>-51</v>
      </c>
      <c r="M40">
        <f t="shared" si="1"/>
        <v>-31.481481481481481</v>
      </c>
    </row>
    <row r="41" spans="1:13">
      <c r="A41" t="s">
        <v>40</v>
      </c>
      <c r="B41">
        <v>210</v>
      </c>
      <c r="C41">
        <v>199</v>
      </c>
      <c r="D41">
        <v>195</v>
      </c>
      <c r="E41">
        <v>166</v>
      </c>
      <c r="F41">
        <v>217</v>
      </c>
      <c r="G41">
        <v>151</v>
      </c>
      <c r="H41">
        <v>194</v>
      </c>
      <c r="I41">
        <v>186</v>
      </c>
      <c r="J41">
        <v>180</v>
      </c>
      <c r="K41">
        <v>152</v>
      </c>
      <c r="L41">
        <f t="shared" si="0"/>
        <v>-58</v>
      </c>
      <c r="M41">
        <f t="shared" si="1"/>
        <v>-27.61904761904762</v>
      </c>
    </row>
    <row r="42" spans="1:13">
      <c r="A42" t="s">
        <v>41</v>
      </c>
      <c r="B42">
        <v>8</v>
      </c>
      <c r="C42">
        <v>13</v>
      </c>
      <c r="D42">
        <v>5</v>
      </c>
      <c r="E42">
        <v>10</v>
      </c>
      <c r="F42">
        <v>3</v>
      </c>
      <c r="G42">
        <v>6</v>
      </c>
      <c r="H42">
        <v>2</v>
      </c>
      <c r="I42">
        <v>1</v>
      </c>
      <c r="J42">
        <v>12</v>
      </c>
      <c r="K42">
        <v>10</v>
      </c>
      <c r="L42">
        <f t="shared" si="0"/>
        <v>2</v>
      </c>
      <c r="M42">
        <f t="shared" si="1"/>
        <v>25</v>
      </c>
    </row>
    <row r="43" spans="1:13">
      <c r="A43" t="s">
        <v>42</v>
      </c>
      <c r="B43">
        <v>86</v>
      </c>
      <c r="C43">
        <v>66</v>
      </c>
      <c r="D43">
        <v>67</v>
      </c>
      <c r="E43">
        <v>98</v>
      </c>
      <c r="F43">
        <v>52</v>
      </c>
      <c r="G43">
        <v>55</v>
      </c>
      <c r="H43">
        <v>62</v>
      </c>
      <c r="I43">
        <v>70</v>
      </c>
      <c r="J43">
        <v>57</v>
      </c>
      <c r="K43">
        <v>66</v>
      </c>
      <c r="L43">
        <f t="shared" si="0"/>
        <v>-20</v>
      </c>
      <c r="M43">
        <f t="shared" si="1"/>
        <v>-23.255813953488371</v>
      </c>
    </row>
    <row r="44" spans="1:13">
      <c r="A44" t="s">
        <v>43</v>
      </c>
      <c r="B44">
        <v>18</v>
      </c>
      <c r="C44">
        <v>30</v>
      </c>
      <c r="D44">
        <v>17</v>
      </c>
      <c r="E44">
        <v>34</v>
      </c>
      <c r="F44">
        <v>12</v>
      </c>
      <c r="G44">
        <v>21</v>
      </c>
      <c r="H44">
        <v>15</v>
      </c>
      <c r="I44">
        <v>17</v>
      </c>
      <c r="J44">
        <v>10</v>
      </c>
      <c r="K44">
        <v>9</v>
      </c>
      <c r="L44">
        <f t="shared" si="0"/>
        <v>-9</v>
      </c>
      <c r="M44">
        <f t="shared" si="1"/>
        <v>-50</v>
      </c>
    </row>
    <row r="45" spans="1:13">
      <c r="A45" t="s">
        <v>44</v>
      </c>
      <c r="B45">
        <v>24</v>
      </c>
      <c r="C45">
        <v>23</v>
      </c>
      <c r="D45">
        <v>30</v>
      </c>
      <c r="E45">
        <v>24</v>
      </c>
      <c r="F45">
        <v>21</v>
      </c>
      <c r="G45">
        <v>13</v>
      </c>
      <c r="H45">
        <v>10</v>
      </c>
      <c r="I45">
        <v>7</v>
      </c>
      <c r="J45">
        <v>9</v>
      </c>
      <c r="K45">
        <v>8</v>
      </c>
      <c r="L45">
        <f t="shared" si="0"/>
        <v>-16</v>
      </c>
      <c r="M45">
        <f t="shared" si="1"/>
        <v>-66.666666666666671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EA2-911B-104A-A9AD-22D44C6136E8}">
  <dimension ref="A1:Q45"/>
  <sheetViews>
    <sheetView zoomScale="96" workbookViewId="0">
      <selection activeCell="U13" sqref="U13"/>
    </sheetView>
  </sheetViews>
  <sheetFormatPr baseColWidth="10" defaultRowHeight="20"/>
  <sheetData>
    <row r="1" spans="1:17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 t="s">
        <v>45</v>
      </c>
      <c r="Q1" t="s">
        <v>48</v>
      </c>
    </row>
    <row r="2" spans="1:17">
      <c r="A2" t="s">
        <v>1</v>
      </c>
      <c r="B2">
        <v>141</v>
      </c>
      <c r="C2">
        <v>128</v>
      </c>
      <c r="D2">
        <v>151</v>
      </c>
      <c r="E2">
        <v>135</v>
      </c>
      <c r="F2">
        <v>143</v>
      </c>
      <c r="G2">
        <v>167</v>
      </c>
      <c r="H2">
        <v>183</v>
      </c>
      <c r="I2">
        <v>163</v>
      </c>
      <c r="J2">
        <v>177</v>
      </c>
      <c r="K2">
        <v>146</v>
      </c>
      <c r="L2">
        <v>173</v>
      </c>
      <c r="M2">
        <v>154</v>
      </c>
      <c r="N2">
        <v>139</v>
      </c>
      <c r="O2">
        <v>192</v>
      </c>
      <c r="P2">
        <f>O2-B2</f>
        <v>51</v>
      </c>
      <c r="Q2">
        <f>O2/B2*100-100</f>
        <v>36.170212765957444</v>
      </c>
    </row>
    <row r="3" spans="1:17">
      <c r="A3" t="s">
        <v>2</v>
      </c>
      <c r="B3">
        <v>329</v>
      </c>
      <c r="C3">
        <v>366</v>
      </c>
      <c r="D3">
        <v>382</v>
      </c>
      <c r="E3">
        <v>376</v>
      </c>
      <c r="F3">
        <v>408</v>
      </c>
      <c r="G3">
        <v>414</v>
      </c>
      <c r="H3">
        <v>410</v>
      </c>
      <c r="I3">
        <v>456</v>
      </c>
      <c r="J3">
        <v>498</v>
      </c>
      <c r="K3">
        <v>370</v>
      </c>
      <c r="L3">
        <v>366</v>
      </c>
      <c r="M3">
        <v>430</v>
      </c>
      <c r="N3">
        <v>417</v>
      </c>
      <c r="O3">
        <v>417</v>
      </c>
      <c r="P3">
        <f t="shared" ref="P3:P45" si="0">O3-B3</f>
        <v>88</v>
      </c>
      <c r="Q3">
        <f t="shared" ref="Q3:Q45" si="1">O3/B3*100-100</f>
        <v>26.747720364741639</v>
      </c>
    </row>
    <row r="4" spans="1:17">
      <c r="A4" t="s">
        <v>3</v>
      </c>
      <c r="B4">
        <v>174</v>
      </c>
      <c r="C4">
        <v>185</v>
      </c>
      <c r="D4">
        <v>175</v>
      </c>
      <c r="E4">
        <v>180</v>
      </c>
      <c r="F4">
        <v>191</v>
      </c>
      <c r="G4">
        <v>202</v>
      </c>
      <c r="H4">
        <v>198</v>
      </c>
      <c r="I4">
        <v>148</v>
      </c>
      <c r="J4">
        <v>182</v>
      </c>
      <c r="K4">
        <v>185</v>
      </c>
      <c r="L4">
        <v>193</v>
      </c>
      <c r="M4">
        <v>205</v>
      </c>
      <c r="N4">
        <v>181</v>
      </c>
      <c r="O4">
        <v>198</v>
      </c>
      <c r="P4">
        <f t="shared" si="0"/>
        <v>24</v>
      </c>
      <c r="Q4">
        <f t="shared" si="1"/>
        <v>13.793103448275872</v>
      </c>
    </row>
    <row r="5" spans="1:17">
      <c r="A5" t="s">
        <v>4</v>
      </c>
      <c r="B5">
        <v>685</v>
      </c>
      <c r="C5">
        <v>728</v>
      </c>
      <c r="D5">
        <v>671</v>
      </c>
      <c r="E5">
        <v>560</v>
      </c>
      <c r="F5">
        <v>641</v>
      </c>
      <c r="G5">
        <v>614</v>
      </c>
      <c r="H5">
        <v>660</v>
      </c>
      <c r="I5">
        <v>611</v>
      </c>
      <c r="J5">
        <v>652</v>
      </c>
      <c r="K5">
        <v>644</v>
      </c>
      <c r="L5">
        <v>589</v>
      </c>
      <c r="M5">
        <v>642</v>
      </c>
      <c r="N5">
        <v>676</v>
      </c>
      <c r="O5">
        <v>635</v>
      </c>
      <c r="P5">
        <f t="shared" si="0"/>
        <v>-50</v>
      </c>
      <c r="Q5">
        <f t="shared" si="1"/>
        <v>-7.299270072992698</v>
      </c>
    </row>
    <row r="6" spans="1:17">
      <c r="A6" t="s">
        <v>5</v>
      </c>
      <c r="B6">
        <v>1169</v>
      </c>
      <c r="C6">
        <v>1267</v>
      </c>
      <c r="D6">
        <v>1233</v>
      </c>
      <c r="E6">
        <v>1279</v>
      </c>
      <c r="F6">
        <v>1304</v>
      </c>
      <c r="G6">
        <v>1354</v>
      </c>
      <c r="H6">
        <v>1246</v>
      </c>
      <c r="I6">
        <v>1292</v>
      </c>
      <c r="J6">
        <v>1307</v>
      </c>
      <c r="K6">
        <v>1183</v>
      </c>
      <c r="L6">
        <v>1204</v>
      </c>
      <c r="M6">
        <v>1335</v>
      </c>
      <c r="N6">
        <v>1389</v>
      </c>
      <c r="O6">
        <v>1323</v>
      </c>
      <c r="P6">
        <f t="shared" si="0"/>
        <v>154</v>
      </c>
      <c r="Q6">
        <f t="shared" si="1"/>
        <v>13.173652694610766</v>
      </c>
    </row>
    <row r="7" spans="1:17">
      <c r="A7" t="s">
        <v>6</v>
      </c>
      <c r="B7">
        <v>496</v>
      </c>
      <c r="C7">
        <v>474</v>
      </c>
      <c r="D7">
        <v>457</v>
      </c>
      <c r="E7">
        <v>453</v>
      </c>
      <c r="F7">
        <v>515</v>
      </c>
      <c r="G7">
        <v>501</v>
      </c>
      <c r="H7">
        <v>528</v>
      </c>
      <c r="I7">
        <v>495</v>
      </c>
      <c r="J7">
        <v>501</v>
      </c>
      <c r="K7">
        <v>494</v>
      </c>
      <c r="L7">
        <v>463</v>
      </c>
      <c r="M7">
        <v>486</v>
      </c>
      <c r="N7">
        <v>511</v>
      </c>
      <c r="O7">
        <v>518</v>
      </c>
      <c r="P7">
        <f t="shared" si="0"/>
        <v>22</v>
      </c>
      <c r="Q7">
        <f t="shared" si="1"/>
        <v>4.4354838709677438</v>
      </c>
    </row>
    <row r="8" spans="1:17">
      <c r="A8" t="s">
        <v>7</v>
      </c>
      <c r="B8">
        <v>950</v>
      </c>
      <c r="C8">
        <v>882</v>
      </c>
      <c r="D8">
        <v>992</v>
      </c>
      <c r="E8">
        <v>881</v>
      </c>
      <c r="F8">
        <v>1027</v>
      </c>
      <c r="G8">
        <v>990</v>
      </c>
      <c r="H8">
        <v>953</v>
      </c>
      <c r="I8">
        <v>949</v>
      </c>
      <c r="J8">
        <v>862</v>
      </c>
      <c r="K8">
        <v>898</v>
      </c>
      <c r="L8">
        <v>999</v>
      </c>
      <c r="M8">
        <v>827</v>
      </c>
      <c r="N8">
        <v>889</v>
      </c>
      <c r="O8">
        <v>867</v>
      </c>
      <c r="P8">
        <f t="shared" si="0"/>
        <v>-83</v>
      </c>
      <c r="Q8">
        <f t="shared" si="1"/>
        <v>-8.7368421052631504</v>
      </c>
    </row>
    <row r="9" spans="1:17">
      <c r="A9" t="s">
        <v>8</v>
      </c>
      <c r="B9">
        <v>1042</v>
      </c>
      <c r="C9">
        <v>1042</v>
      </c>
      <c r="D9">
        <v>1138</v>
      </c>
      <c r="E9">
        <v>1099</v>
      </c>
      <c r="F9">
        <v>1083</v>
      </c>
      <c r="G9">
        <v>1097</v>
      </c>
      <c r="H9">
        <v>1148</v>
      </c>
      <c r="I9">
        <v>1080</v>
      </c>
      <c r="J9">
        <v>1031</v>
      </c>
      <c r="K9">
        <v>1035</v>
      </c>
      <c r="L9">
        <v>964</v>
      </c>
      <c r="M9">
        <v>1024</v>
      </c>
      <c r="N9">
        <v>985</v>
      </c>
      <c r="O9">
        <v>983</v>
      </c>
      <c r="P9">
        <f t="shared" si="0"/>
        <v>-59</v>
      </c>
      <c r="Q9">
        <f t="shared" si="1"/>
        <v>-5.6621880998080627</v>
      </c>
    </row>
    <row r="10" spans="1:17">
      <c r="A10" t="s">
        <v>9</v>
      </c>
      <c r="B10">
        <v>764</v>
      </c>
      <c r="C10">
        <v>845</v>
      </c>
      <c r="D10">
        <v>864</v>
      </c>
      <c r="E10">
        <v>828</v>
      </c>
      <c r="F10">
        <v>747</v>
      </c>
      <c r="G10">
        <v>869</v>
      </c>
      <c r="H10">
        <v>783</v>
      </c>
      <c r="I10">
        <v>787</v>
      </c>
      <c r="J10">
        <v>736</v>
      </c>
      <c r="K10">
        <v>700</v>
      </c>
      <c r="L10">
        <v>706</v>
      </c>
      <c r="M10">
        <v>739</v>
      </c>
      <c r="N10">
        <v>667</v>
      </c>
      <c r="O10">
        <v>623</v>
      </c>
      <c r="P10">
        <f t="shared" si="0"/>
        <v>-141</v>
      </c>
      <c r="Q10">
        <f t="shared" si="1"/>
        <v>-18.455497382198942</v>
      </c>
    </row>
    <row r="11" spans="1:17">
      <c r="A11" t="s">
        <v>10</v>
      </c>
      <c r="B11">
        <v>1182</v>
      </c>
      <c r="C11">
        <v>1171</v>
      </c>
      <c r="D11">
        <v>1198</v>
      </c>
      <c r="E11">
        <v>1285</v>
      </c>
      <c r="F11">
        <v>1237</v>
      </c>
      <c r="G11">
        <v>1127</v>
      </c>
      <c r="H11">
        <v>1134</v>
      </c>
      <c r="I11">
        <v>1154</v>
      </c>
      <c r="J11">
        <v>1098</v>
      </c>
      <c r="K11">
        <v>1016</v>
      </c>
      <c r="L11">
        <v>959</v>
      </c>
      <c r="M11">
        <v>1021</v>
      </c>
      <c r="N11">
        <v>1046</v>
      </c>
      <c r="O11">
        <v>1018</v>
      </c>
      <c r="P11">
        <f t="shared" si="0"/>
        <v>-164</v>
      </c>
      <c r="Q11">
        <f t="shared" si="1"/>
        <v>-13.874788494077833</v>
      </c>
    </row>
    <row r="12" spans="1:17">
      <c r="A12" t="s">
        <v>11</v>
      </c>
      <c r="B12">
        <v>697</v>
      </c>
      <c r="C12">
        <v>627</v>
      </c>
      <c r="D12">
        <v>595</v>
      </c>
      <c r="E12">
        <v>622</v>
      </c>
      <c r="F12">
        <v>676</v>
      </c>
      <c r="G12">
        <v>564</v>
      </c>
      <c r="H12">
        <v>603</v>
      </c>
      <c r="I12">
        <v>680</v>
      </c>
      <c r="J12">
        <v>649</v>
      </c>
      <c r="K12">
        <v>591</v>
      </c>
      <c r="L12">
        <v>627</v>
      </c>
      <c r="M12">
        <v>689</v>
      </c>
      <c r="N12">
        <v>709</v>
      </c>
      <c r="O12">
        <v>642</v>
      </c>
      <c r="P12">
        <f t="shared" si="0"/>
        <v>-55</v>
      </c>
      <c r="Q12">
        <f t="shared" si="1"/>
        <v>-7.8909612625538017</v>
      </c>
    </row>
    <row r="13" spans="1:17">
      <c r="A13" t="s">
        <v>12</v>
      </c>
      <c r="B13">
        <v>417</v>
      </c>
      <c r="C13">
        <v>431</v>
      </c>
      <c r="D13">
        <v>413</v>
      </c>
      <c r="E13">
        <v>577</v>
      </c>
      <c r="F13">
        <v>470</v>
      </c>
      <c r="G13">
        <v>420</v>
      </c>
      <c r="H13">
        <v>471</v>
      </c>
      <c r="I13">
        <v>436</v>
      </c>
      <c r="J13">
        <v>453</v>
      </c>
      <c r="K13">
        <v>432</v>
      </c>
      <c r="L13">
        <v>433</v>
      </c>
      <c r="M13">
        <v>473</v>
      </c>
      <c r="N13">
        <v>474</v>
      </c>
      <c r="O13">
        <v>425</v>
      </c>
      <c r="P13">
        <f t="shared" si="0"/>
        <v>8</v>
      </c>
      <c r="Q13">
        <f t="shared" si="1"/>
        <v>1.9184652278177623</v>
      </c>
    </row>
    <row r="14" spans="1:17">
      <c r="A14" t="s">
        <v>13</v>
      </c>
      <c r="B14">
        <v>268</v>
      </c>
      <c r="C14">
        <v>272</v>
      </c>
      <c r="D14">
        <v>242</v>
      </c>
      <c r="E14">
        <v>261</v>
      </c>
      <c r="F14">
        <v>270</v>
      </c>
      <c r="G14">
        <v>266</v>
      </c>
      <c r="H14">
        <v>277</v>
      </c>
      <c r="I14">
        <v>261</v>
      </c>
      <c r="J14">
        <v>258</v>
      </c>
      <c r="K14">
        <v>216</v>
      </c>
      <c r="L14">
        <v>231</v>
      </c>
      <c r="M14">
        <v>255</v>
      </c>
      <c r="N14">
        <v>271</v>
      </c>
      <c r="O14">
        <v>264</v>
      </c>
      <c r="P14">
        <f t="shared" si="0"/>
        <v>-4</v>
      </c>
      <c r="Q14">
        <f t="shared" si="1"/>
        <v>-1.4925373134328339</v>
      </c>
    </row>
    <row r="15" spans="1:17">
      <c r="A15" t="s">
        <v>14</v>
      </c>
      <c r="B15">
        <v>316</v>
      </c>
      <c r="C15">
        <v>312</v>
      </c>
      <c r="D15">
        <v>325</v>
      </c>
      <c r="E15">
        <v>321</v>
      </c>
      <c r="F15">
        <v>349</v>
      </c>
      <c r="G15">
        <v>319</v>
      </c>
      <c r="H15">
        <v>388</v>
      </c>
      <c r="I15">
        <v>343</v>
      </c>
      <c r="J15">
        <v>376</v>
      </c>
      <c r="K15">
        <v>285</v>
      </c>
      <c r="L15">
        <v>277</v>
      </c>
      <c r="M15">
        <v>297</v>
      </c>
      <c r="N15">
        <v>300</v>
      </c>
      <c r="O15">
        <v>261</v>
      </c>
      <c r="P15">
        <f t="shared" si="0"/>
        <v>-55</v>
      </c>
      <c r="Q15">
        <f t="shared" si="1"/>
        <v>-17.405063291139243</v>
      </c>
    </row>
    <row r="16" spans="1:17">
      <c r="A16" t="s">
        <v>15</v>
      </c>
      <c r="B16">
        <v>128</v>
      </c>
      <c r="C16">
        <v>149</v>
      </c>
      <c r="D16">
        <v>153</v>
      </c>
      <c r="E16">
        <v>147</v>
      </c>
      <c r="F16">
        <v>152</v>
      </c>
      <c r="G16">
        <v>101</v>
      </c>
      <c r="H16">
        <v>156</v>
      </c>
      <c r="I16">
        <v>176</v>
      </c>
      <c r="J16">
        <v>184</v>
      </c>
      <c r="K16">
        <v>131</v>
      </c>
      <c r="L16">
        <v>134</v>
      </c>
      <c r="M16">
        <v>111</v>
      </c>
      <c r="N16">
        <v>146</v>
      </c>
      <c r="O16">
        <v>132</v>
      </c>
      <c r="P16">
        <f t="shared" si="0"/>
        <v>4</v>
      </c>
      <c r="Q16">
        <f t="shared" si="1"/>
        <v>3.125</v>
      </c>
    </row>
    <row r="17" spans="1:17">
      <c r="A17" t="s">
        <v>16</v>
      </c>
      <c r="B17">
        <v>102</v>
      </c>
      <c r="C17">
        <v>107</v>
      </c>
      <c r="D17">
        <v>125</v>
      </c>
      <c r="E17">
        <v>107</v>
      </c>
      <c r="F17">
        <v>112</v>
      </c>
      <c r="G17">
        <v>96</v>
      </c>
      <c r="H17">
        <v>121</v>
      </c>
      <c r="I17">
        <v>122</v>
      </c>
      <c r="J17">
        <v>117</v>
      </c>
      <c r="K17">
        <v>97</v>
      </c>
      <c r="L17">
        <v>120</v>
      </c>
      <c r="M17">
        <v>125</v>
      </c>
      <c r="N17">
        <v>98</v>
      </c>
      <c r="O17">
        <v>63</v>
      </c>
      <c r="P17">
        <f t="shared" si="0"/>
        <v>-39</v>
      </c>
      <c r="Q17">
        <f t="shared" si="1"/>
        <v>-38.235294117647058</v>
      </c>
    </row>
    <row r="18" spans="1:17">
      <c r="A18" t="s">
        <v>17</v>
      </c>
      <c r="B18">
        <v>536</v>
      </c>
      <c r="C18">
        <v>533</v>
      </c>
      <c r="D18">
        <v>501</v>
      </c>
      <c r="E18">
        <v>532</v>
      </c>
      <c r="F18">
        <v>597</v>
      </c>
      <c r="G18">
        <v>481</v>
      </c>
      <c r="H18">
        <v>507</v>
      </c>
      <c r="I18">
        <v>569</v>
      </c>
      <c r="J18">
        <v>464</v>
      </c>
      <c r="K18">
        <v>456</v>
      </c>
      <c r="L18">
        <v>544</v>
      </c>
      <c r="M18">
        <v>453</v>
      </c>
      <c r="N18">
        <v>564</v>
      </c>
      <c r="O18">
        <v>629</v>
      </c>
      <c r="P18">
        <f t="shared" si="0"/>
        <v>93</v>
      </c>
      <c r="Q18">
        <f t="shared" si="1"/>
        <v>17.350746268656707</v>
      </c>
    </row>
    <row r="19" spans="1:17">
      <c r="A19" t="s">
        <v>18</v>
      </c>
      <c r="B19">
        <v>279</v>
      </c>
      <c r="C19">
        <v>298</v>
      </c>
      <c r="D19">
        <v>264</v>
      </c>
      <c r="E19">
        <v>301</v>
      </c>
      <c r="F19">
        <v>270</v>
      </c>
      <c r="G19">
        <v>321</v>
      </c>
      <c r="H19">
        <v>262</v>
      </c>
      <c r="I19">
        <v>263</v>
      </c>
      <c r="J19">
        <v>335</v>
      </c>
      <c r="K19">
        <v>269</v>
      </c>
      <c r="L19">
        <v>278</v>
      </c>
      <c r="M19">
        <v>283</v>
      </c>
      <c r="N19">
        <v>219</v>
      </c>
      <c r="O19">
        <v>208</v>
      </c>
      <c r="P19">
        <f t="shared" si="0"/>
        <v>-71</v>
      </c>
      <c r="Q19">
        <f t="shared" si="1"/>
        <v>-25.448028673835125</v>
      </c>
    </row>
    <row r="20" spans="1:17">
      <c r="A20" t="s">
        <v>19</v>
      </c>
      <c r="B20">
        <v>177</v>
      </c>
      <c r="C20">
        <v>202</v>
      </c>
      <c r="D20">
        <v>190</v>
      </c>
      <c r="E20">
        <v>202</v>
      </c>
      <c r="F20">
        <v>213</v>
      </c>
      <c r="G20">
        <v>222</v>
      </c>
      <c r="H20">
        <v>186</v>
      </c>
      <c r="I20">
        <v>187</v>
      </c>
      <c r="J20">
        <v>240</v>
      </c>
      <c r="K20">
        <v>180</v>
      </c>
      <c r="L20">
        <v>260</v>
      </c>
      <c r="M20">
        <v>227</v>
      </c>
      <c r="N20">
        <v>196</v>
      </c>
      <c r="O20">
        <v>187</v>
      </c>
      <c r="P20">
        <f t="shared" si="0"/>
        <v>10</v>
      </c>
      <c r="Q20">
        <f t="shared" si="1"/>
        <v>5.6497175141242906</v>
      </c>
    </row>
    <row r="21" spans="1:17">
      <c r="A21" t="s">
        <v>20</v>
      </c>
      <c r="B21">
        <v>220</v>
      </c>
      <c r="C21">
        <v>196</v>
      </c>
      <c r="D21">
        <v>218</v>
      </c>
      <c r="E21">
        <v>197</v>
      </c>
      <c r="F21">
        <v>197</v>
      </c>
      <c r="G21">
        <v>142</v>
      </c>
      <c r="H21">
        <v>182</v>
      </c>
      <c r="I21">
        <v>222</v>
      </c>
      <c r="J21">
        <v>230</v>
      </c>
      <c r="K21">
        <v>194</v>
      </c>
      <c r="L21">
        <v>204</v>
      </c>
      <c r="M21">
        <v>210</v>
      </c>
      <c r="N21">
        <v>199</v>
      </c>
      <c r="O21">
        <v>190</v>
      </c>
      <c r="P21">
        <f t="shared" si="0"/>
        <v>-30</v>
      </c>
      <c r="Q21">
        <f t="shared" si="1"/>
        <v>-13.63636363636364</v>
      </c>
    </row>
    <row r="22" spans="1:17">
      <c r="A22" t="s">
        <v>21</v>
      </c>
      <c r="B22">
        <v>657</v>
      </c>
      <c r="C22">
        <v>692</v>
      </c>
      <c r="D22">
        <v>690</v>
      </c>
      <c r="E22">
        <v>747</v>
      </c>
      <c r="F22">
        <v>675</v>
      </c>
      <c r="G22">
        <v>709</v>
      </c>
      <c r="H22">
        <v>644</v>
      </c>
      <c r="I22">
        <v>708</v>
      </c>
      <c r="J22">
        <v>699</v>
      </c>
      <c r="K22">
        <v>613</v>
      </c>
      <c r="L22">
        <v>662</v>
      </c>
      <c r="M22">
        <v>729</v>
      </c>
      <c r="N22">
        <v>709</v>
      </c>
      <c r="O22">
        <v>720</v>
      </c>
      <c r="P22">
        <f t="shared" si="0"/>
        <v>63</v>
      </c>
      <c r="Q22">
        <f t="shared" si="1"/>
        <v>9.5890410958904084</v>
      </c>
    </row>
    <row r="23" spans="1:17">
      <c r="A23" t="s">
        <v>22</v>
      </c>
      <c r="B23">
        <v>9</v>
      </c>
      <c r="C23">
        <v>4</v>
      </c>
      <c r="D23">
        <v>5</v>
      </c>
      <c r="E23">
        <v>6</v>
      </c>
      <c r="F23">
        <v>7</v>
      </c>
      <c r="G23">
        <v>4</v>
      </c>
      <c r="H23">
        <v>8</v>
      </c>
      <c r="I23">
        <v>3</v>
      </c>
      <c r="J23">
        <v>8</v>
      </c>
      <c r="K23">
        <v>2</v>
      </c>
      <c r="L23">
        <v>3</v>
      </c>
      <c r="M23">
        <v>5</v>
      </c>
      <c r="N23">
        <v>7</v>
      </c>
      <c r="O23">
        <v>11</v>
      </c>
      <c r="P23">
        <f t="shared" si="0"/>
        <v>2</v>
      </c>
      <c r="Q23">
        <f t="shared" si="1"/>
        <v>22.222222222222229</v>
      </c>
    </row>
    <row r="24" spans="1:17">
      <c r="A24" t="s">
        <v>23</v>
      </c>
      <c r="B24">
        <v>2</v>
      </c>
      <c r="C24">
        <v>1</v>
      </c>
      <c r="D24">
        <v>6</v>
      </c>
      <c r="E24">
        <v>5</v>
      </c>
      <c r="F24">
        <v>3</v>
      </c>
      <c r="G24">
        <v>4</v>
      </c>
      <c r="H24">
        <v>4</v>
      </c>
      <c r="I24">
        <v>10</v>
      </c>
      <c r="J24">
        <v>3</v>
      </c>
      <c r="K24">
        <v>4</v>
      </c>
      <c r="L24">
        <v>2</v>
      </c>
      <c r="M24">
        <v>6</v>
      </c>
      <c r="N24">
        <v>2</v>
      </c>
      <c r="O24">
        <v>6</v>
      </c>
      <c r="P24">
        <f t="shared" si="0"/>
        <v>4</v>
      </c>
      <c r="Q24">
        <f t="shared" si="1"/>
        <v>200</v>
      </c>
    </row>
    <row r="25" spans="1:17">
      <c r="A25" t="s">
        <v>24</v>
      </c>
      <c r="B25">
        <v>1059</v>
      </c>
      <c r="C25">
        <v>893</v>
      </c>
      <c r="D25">
        <v>997</v>
      </c>
      <c r="E25">
        <v>929</v>
      </c>
      <c r="F25">
        <v>1019</v>
      </c>
      <c r="G25">
        <v>1006</v>
      </c>
      <c r="H25">
        <v>867</v>
      </c>
      <c r="I25">
        <v>994</v>
      </c>
      <c r="J25">
        <v>1000</v>
      </c>
      <c r="K25">
        <v>890</v>
      </c>
      <c r="L25">
        <v>826</v>
      </c>
      <c r="M25">
        <v>925</v>
      </c>
      <c r="N25">
        <v>850</v>
      </c>
      <c r="O25">
        <v>838</v>
      </c>
      <c r="P25">
        <f t="shared" si="0"/>
        <v>-221</v>
      </c>
      <c r="Q25">
        <f t="shared" si="1"/>
        <v>-20.868744098205852</v>
      </c>
    </row>
    <row r="26" spans="1:17">
      <c r="A26" t="s">
        <v>25</v>
      </c>
      <c r="B26">
        <v>201</v>
      </c>
      <c r="C26">
        <v>154</v>
      </c>
      <c r="D26">
        <v>195</v>
      </c>
      <c r="E26">
        <v>178</v>
      </c>
      <c r="F26">
        <v>185</v>
      </c>
      <c r="G26">
        <v>159</v>
      </c>
      <c r="H26">
        <v>190</v>
      </c>
      <c r="I26">
        <v>173</v>
      </c>
      <c r="J26">
        <v>170</v>
      </c>
      <c r="K26">
        <v>159</v>
      </c>
      <c r="L26">
        <v>148</v>
      </c>
      <c r="M26">
        <v>171</v>
      </c>
      <c r="N26">
        <v>147</v>
      </c>
      <c r="O26">
        <v>148</v>
      </c>
      <c r="P26">
        <f t="shared" si="0"/>
        <v>-53</v>
      </c>
      <c r="Q26">
        <f t="shared" si="1"/>
        <v>-26.368159203980099</v>
      </c>
    </row>
    <row r="27" spans="1:17">
      <c r="A27" t="s">
        <v>26</v>
      </c>
      <c r="B27">
        <v>3</v>
      </c>
      <c r="C27">
        <v>2</v>
      </c>
      <c r="D27">
        <v>6</v>
      </c>
      <c r="E27">
        <v>2</v>
      </c>
      <c r="F27">
        <v>4</v>
      </c>
      <c r="G27">
        <v>6</v>
      </c>
      <c r="H27">
        <v>2</v>
      </c>
      <c r="I27">
        <v>4</v>
      </c>
      <c r="J27">
        <v>2</v>
      </c>
      <c r="K27">
        <v>4</v>
      </c>
      <c r="L27">
        <v>4</v>
      </c>
      <c r="M27">
        <v>1</v>
      </c>
      <c r="N27">
        <v>3</v>
      </c>
      <c r="O27">
        <v>2</v>
      </c>
      <c r="P27">
        <f t="shared" si="0"/>
        <v>-1</v>
      </c>
      <c r="Q27">
        <f t="shared" si="1"/>
        <v>-33.333333333333343</v>
      </c>
    </row>
    <row r="28" spans="1:17">
      <c r="A28" t="s">
        <v>27</v>
      </c>
      <c r="B28">
        <v>143</v>
      </c>
      <c r="C28">
        <v>140</v>
      </c>
      <c r="D28">
        <v>143</v>
      </c>
      <c r="E28">
        <v>137</v>
      </c>
      <c r="F28">
        <v>104</v>
      </c>
      <c r="G28">
        <v>102</v>
      </c>
      <c r="H28">
        <v>100</v>
      </c>
      <c r="I28">
        <v>100</v>
      </c>
      <c r="J28">
        <v>99</v>
      </c>
      <c r="K28">
        <v>113</v>
      </c>
      <c r="L28">
        <v>111</v>
      </c>
      <c r="M28">
        <v>104</v>
      </c>
      <c r="N28">
        <v>101</v>
      </c>
      <c r="O28">
        <v>120</v>
      </c>
      <c r="P28">
        <f t="shared" si="0"/>
        <v>-23</v>
      </c>
      <c r="Q28">
        <f t="shared" si="1"/>
        <v>-16.08391608391608</v>
      </c>
    </row>
    <row r="29" spans="1:17">
      <c r="A29" t="s">
        <v>28</v>
      </c>
      <c r="B29">
        <v>3</v>
      </c>
      <c r="C29">
        <v>6</v>
      </c>
      <c r="D29">
        <v>9</v>
      </c>
      <c r="E29">
        <v>4</v>
      </c>
      <c r="F29">
        <v>7</v>
      </c>
      <c r="G29">
        <v>4</v>
      </c>
      <c r="H29">
        <v>6</v>
      </c>
      <c r="I29">
        <v>2</v>
      </c>
      <c r="J29">
        <v>5</v>
      </c>
      <c r="K29">
        <v>3</v>
      </c>
      <c r="L29">
        <v>7</v>
      </c>
      <c r="M29">
        <v>11</v>
      </c>
      <c r="N29">
        <v>6</v>
      </c>
      <c r="O29">
        <v>5</v>
      </c>
      <c r="P29">
        <f t="shared" si="0"/>
        <v>2</v>
      </c>
      <c r="Q29">
        <f t="shared" si="1"/>
        <v>66.666666666666686</v>
      </c>
    </row>
    <row r="30" spans="1:17">
      <c r="A30" t="s">
        <v>29</v>
      </c>
      <c r="B30">
        <v>524</v>
      </c>
      <c r="C30">
        <v>419</v>
      </c>
      <c r="D30">
        <v>585</v>
      </c>
      <c r="E30">
        <v>592</v>
      </c>
      <c r="F30">
        <v>542</v>
      </c>
      <c r="G30">
        <v>585</v>
      </c>
      <c r="H30">
        <v>518</v>
      </c>
      <c r="I30">
        <v>823</v>
      </c>
      <c r="J30">
        <v>840</v>
      </c>
      <c r="K30">
        <v>799</v>
      </c>
      <c r="L30">
        <v>896</v>
      </c>
      <c r="M30">
        <v>833</v>
      </c>
      <c r="N30">
        <v>815</v>
      </c>
      <c r="O30">
        <v>706</v>
      </c>
      <c r="P30">
        <f t="shared" si="0"/>
        <v>182</v>
      </c>
      <c r="Q30">
        <f t="shared" si="1"/>
        <v>34.732824427480921</v>
      </c>
    </row>
    <row r="31" spans="1:17">
      <c r="A31" t="s">
        <v>30</v>
      </c>
      <c r="B31">
        <v>247</v>
      </c>
      <c r="C31">
        <v>283</v>
      </c>
      <c r="D31">
        <v>263</v>
      </c>
      <c r="E31">
        <v>211</v>
      </c>
      <c r="F31">
        <v>243</v>
      </c>
      <c r="G31">
        <v>233</v>
      </c>
      <c r="H31">
        <v>239</v>
      </c>
      <c r="I31">
        <v>220</v>
      </c>
      <c r="J31">
        <v>218</v>
      </c>
      <c r="K31">
        <v>190</v>
      </c>
      <c r="L31">
        <v>193</v>
      </c>
      <c r="M31">
        <v>265</v>
      </c>
      <c r="N31">
        <v>213</v>
      </c>
      <c r="O31">
        <v>235</v>
      </c>
      <c r="P31">
        <f t="shared" si="0"/>
        <v>-12</v>
      </c>
      <c r="Q31">
        <f t="shared" si="1"/>
        <v>-4.8582995951417018</v>
      </c>
    </row>
    <row r="32" spans="1:17">
      <c r="A32" t="s">
        <v>31</v>
      </c>
      <c r="B32">
        <v>1855</v>
      </c>
      <c r="C32">
        <v>1967</v>
      </c>
      <c r="D32">
        <v>1873</v>
      </c>
      <c r="E32">
        <v>1930</v>
      </c>
      <c r="F32">
        <v>2067</v>
      </c>
      <c r="G32">
        <v>1934</v>
      </c>
      <c r="H32">
        <v>1872</v>
      </c>
      <c r="I32">
        <v>1827</v>
      </c>
      <c r="J32">
        <v>1852</v>
      </c>
      <c r="K32">
        <v>1907</v>
      </c>
      <c r="L32">
        <v>1714</v>
      </c>
      <c r="M32">
        <v>1966</v>
      </c>
      <c r="N32">
        <v>1887</v>
      </c>
      <c r="O32">
        <v>1783</v>
      </c>
      <c r="P32">
        <f t="shared" si="0"/>
        <v>-72</v>
      </c>
      <c r="Q32">
        <f t="shared" si="1"/>
        <v>-3.881401617250674</v>
      </c>
    </row>
    <row r="33" spans="1:17">
      <c r="A33" t="s">
        <v>32</v>
      </c>
      <c r="B33">
        <v>152</v>
      </c>
      <c r="C33">
        <v>133</v>
      </c>
      <c r="D33">
        <v>237</v>
      </c>
      <c r="E33">
        <v>303</v>
      </c>
      <c r="F33">
        <v>291</v>
      </c>
      <c r="G33">
        <v>256</v>
      </c>
      <c r="H33">
        <v>194</v>
      </c>
      <c r="I33">
        <v>164</v>
      </c>
      <c r="J33">
        <v>159</v>
      </c>
      <c r="K33">
        <v>170</v>
      </c>
      <c r="L33">
        <v>154</v>
      </c>
      <c r="M33">
        <v>152</v>
      </c>
      <c r="N33">
        <v>179</v>
      </c>
      <c r="O33">
        <v>208</v>
      </c>
      <c r="P33">
        <f t="shared" si="0"/>
        <v>56</v>
      </c>
      <c r="Q33">
        <f t="shared" si="1"/>
        <v>36.84210526315789</v>
      </c>
    </row>
    <row r="34" spans="1:17">
      <c r="A34" t="s">
        <v>33</v>
      </c>
      <c r="B34">
        <v>25</v>
      </c>
      <c r="C34">
        <v>25</v>
      </c>
      <c r="D34">
        <v>21</v>
      </c>
      <c r="E34">
        <v>35</v>
      </c>
      <c r="F34">
        <v>35</v>
      </c>
      <c r="G34">
        <v>42</v>
      </c>
      <c r="H34">
        <v>31</v>
      </c>
      <c r="I34">
        <v>35</v>
      </c>
      <c r="J34">
        <v>36</v>
      </c>
      <c r="K34">
        <v>31</v>
      </c>
      <c r="L34">
        <v>20</v>
      </c>
      <c r="M34">
        <v>31</v>
      </c>
      <c r="N34">
        <v>27</v>
      </c>
      <c r="O34">
        <v>26</v>
      </c>
      <c r="P34">
        <f t="shared" si="0"/>
        <v>1</v>
      </c>
      <c r="Q34">
        <f t="shared" si="1"/>
        <v>4</v>
      </c>
    </row>
    <row r="35" spans="1:17">
      <c r="A35" t="s">
        <v>34</v>
      </c>
      <c r="B35">
        <v>15</v>
      </c>
      <c r="C35">
        <v>20</v>
      </c>
      <c r="D35">
        <v>16</v>
      </c>
      <c r="E35">
        <v>18</v>
      </c>
      <c r="F35">
        <v>21</v>
      </c>
      <c r="G35">
        <v>17</v>
      </c>
      <c r="H35">
        <v>14</v>
      </c>
      <c r="I35">
        <v>13</v>
      </c>
      <c r="J35">
        <v>13</v>
      </c>
      <c r="K35">
        <v>14</v>
      </c>
      <c r="L35">
        <v>13</v>
      </c>
      <c r="M35">
        <v>9</v>
      </c>
      <c r="N35">
        <v>11</v>
      </c>
      <c r="O35">
        <v>18</v>
      </c>
      <c r="P35">
        <f t="shared" si="0"/>
        <v>3</v>
      </c>
      <c r="Q35">
        <f t="shared" si="1"/>
        <v>20</v>
      </c>
    </row>
    <row r="36" spans="1:17">
      <c r="A36" t="s">
        <v>35</v>
      </c>
      <c r="B36">
        <v>11</v>
      </c>
      <c r="C36">
        <v>5</v>
      </c>
      <c r="D36">
        <v>12</v>
      </c>
      <c r="E36">
        <v>10</v>
      </c>
      <c r="F36">
        <v>7</v>
      </c>
      <c r="G36">
        <v>6</v>
      </c>
      <c r="H36">
        <v>10</v>
      </c>
      <c r="I36">
        <v>5</v>
      </c>
      <c r="J36">
        <v>6</v>
      </c>
      <c r="K36">
        <v>10</v>
      </c>
      <c r="L36">
        <v>19</v>
      </c>
      <c r="M36">
        <v>8</v>
      </c>
      <c r="N36">
        <v>6</v>
      </c>
      <c r="O36">
        <v>6</v>
      </c>
      <c r="P36">
        <f t="shared" si="0"/>
        <v>-5</v>
      </c>
      <c r="Q36">
        <f t="shared" si="1"/>
        <v>-45.45454545454546</v>
      </c>
    </row>
    <row r="37" spans="1:17">
      <c r="A37" t="s">
        <v>36</v>
      </c>
      <c r="B37">
        <v>28</v>
      </c>
      <c r="C37">
        <v>27</v>
      </c>
      <c r="D37">
        <v>30</v>
      </c>
      <c r="E37">
        <v>34</v>
      </c>
      <c r="F37">
        <v>44</v>
      </c>
      <c r="G37">
        <v>57</v>
      </c>
      <c r="H37">
        <v>55</v>
      </c>
      <c r="I37">
        <v>33</v>
      </c>
      <c r="J37">
        <v>50</v>
      </c>
      <c r="K37">
        <v>36</v>
      </c>
      <c r="L37">
        <v>34</v>
      </c>
      <c r="M37">
        <v>35</v>
      </c>
      <c r="N37">
        <v>27</v>
      </c>
      <c r="O37">
        <v>30</v>
      </c>
      <c r="P37">
        <f t="shared" si="0"/>
        <v>2</v>
      </c>
      <c r="Q37">
        <f t="shared" si="1"/>
        <v>7.1428571428571388</v>
      </c>
    </row>
    <row r="38" spans="1:17">
      <c r="A38" t="s">
        <v>37</v>
      </c>
      <c r="B38">
        <v>27</v>
      </c>
      <c r="C38">
        <v>23</v>
      </c>
      <c r="D38">
        <v>25</v>
      </c>
      <c r="E38">
        <v>23</v>
      </c>
      <c r="F38">
        <v>26</v>
      </c>
      <c r="G38">
        <v>27</v>
      </c>
      <c r="H38">
        <v>24</v>
      </c>
      <c r="I38">
        <v>19</v>
      </c>
      <c r="J38">
        <v>30</v>
      </c>
      <c r="K38">
        <v>11</v>
      </c>
      <c r="L38">
        <v>18</v>
      </c>
      <c r="M38">
        <v>35</v>
      </c>
      <c r="N38">
        <v>29</v>
      </c>
      <c r="O38">
        <v>26</v>
      </c>
      <c r="P38">
        <f t="shared" si="0"/>
        <v>-1</v>
      </c>
      <c r="Q38">
        <f t="shared" si="1"/>
        <v>-3.7037037037037095</v>
      </c>
    </row>
    <row r="39" spans="1:17">
      <c r="A39" t="s">
        <v>38</v>
      </c>
      <c r="B39">
        <v>144</v>
      </c>
      <c r="C39">
        <v>164</v>
      </c>
      <c r="D39">
        <v>190</v>
      </c>
      <c r="E39">
        <v>137</v>
      </c>
      <c r="F39">
        <v>154</v>
      </c>
      <c r="G39">
        <v>184</v>
      </c>
      <c r="H39">
        <v>165</v>
      </c>
      <c r="I39">
        <v>162</v>
      </c>
      <c r="J39">
        <v>134</v>
      </c>
      <c r="K39">
        <v>155</v>
      </c>
      <c r="L39">
        <v>159</v>
      </c>
      <c r="M39">
        <v>159</v>
      </c>
      <c r="N39">
        <v>192</v>
      </c>
      <c r="O39">
        <v>154</v>
      </c>
      <c r="P39">
        <f t="shared" si="0"/>
        <v>10</v>
      </c>
      <c r="Q39">
        <f t="shared" si="1"/>
        <v>6.9444444444444429</v>
      </c>
    </row>
    <row r="40" spans="1:17">
      <c r="A40" t="s">
        <v>39</v>
      </c>
      <c r="B40">
        <v>69</v>
      </c>
      <c r="C40">
        <v>76</v>
      </c>
      <c r="D40">
        <v>74</v>
      </c>
      <c r="E40">
        <v>76</v>
      </c>
      <c r="F40">
        <v>76</v>
      </c>
      <c r="G40">
        <v>69</v>
      </c>
      <c r="H40">
        <v>63</v>
      </c>
      <c r="I40">
        <v>80</v>
      </c>
      <c r="J40">
        <v>65</v>
      </c>
      <c r="K40">
        <v>59</v>
      </c>
      <c r="L40">
        <v>93</v>
      </c>
      <c r="M40">
        <v>79</v>
      </c>
      <c r="N40">
        <v>78</v>
      </c>
      <c r="O40">
        <v>66</v>
      </c>
      <c r="P40">
        <f t="shared" si="0"/>
        <v>-3</v>
      </c>
      <c r="Q40">
        <f t="shared" si="1"/>
        <v>-4.3478260869565162</v>
      </c>
    </row>
    <row r="41" spans="1:17">
      <c r="A41" t="s">
        <v>40</v>
      </c>
      <c r="B41">
        <v>89</v>
      </c>
      <c r="C41">
        <v>88</v>
      </c>
      <c r="D41">
        <v>99</v>
      </c>
      <c r="E41">
        <v>85</v>
      </c>
      <c r="F41">
        <v>93</v>
      </c>
      <c r="G41">
        <v>117</v>
      </c>
      <c r="H41">
        <v>86</v>
      </c>
      <c r="I41">
        <v>89</v>
      </c>
      <c r="J41">
        <v>116</v>
      </c>
      <c r="K41">
        <v>83</v>
      </c>
      <c r="L41">
        <v>107</v>
      </c>
      <c r="M41">
        <v>86</v>
      </c>
      <c r="N41">
        <v>105</v>
      </c>
      <c r="O41">
        <v>69</v>
      </c>
      <c r="P41">
        <f t="shared" si="0"/>
        <v>-20</v>
      </c>
      <c r="Q41">
        <f t="shared" si="1"/>
        <v>-22.471910112359552</v>
      </c>
    </row>
    <row r="42" spans="1:17">
      <c r="A42" t="s">
        <v>41</v>
      </c>
      <c r="B42">
        <v>10</v>
      </c>
      <c r="C42">
        <v>6</v>
      </c>
      <c r="D42">
        <v>4</v>
      </c>
      <c r="E42">
        <v>0</v>
      </c>
      <c r="F42">
        <v>1</v>
      </c>
      <c r="G42">
        <v>0</v>
      </c>
      <c r="H42">
        <v>2</v>
      </c>
      <c r="I42">
        <v>1</v>
      </c>
      <c r="J42">
        <v>1</v>
      </c>
      <c r="K42">
        <v>0</v>
      </c>
      <c r="L42">
        <v>5</v>
      </c>
      <c r="M42">
        <v>3</v>
      </c>
      <c r="N42">
        <v>0</v>
      </c>
      <c r="O42">
        <v>1</v>
      </c>
      <c r="P42">
        <f t="shared" si="0"/>
        <v>-9</v>
      </c>
      <c r="Q42">
        <f t="shared" si="1"/>
        <v>-90</v>
      </c>
    </row>
    <row r="43" spans="1:17">
      <c r="A43" t="s">
        <v>42</v>
      </c>
      <c r="B43">
        <v>22</v>
      </c>
      <c r="C43">
        <v>19</v>
      </c>
      <c r="D43">
        <v>23</v>
      </c>
      <c r="E43">
        <v>24</v>
      </c>
      <c r="F43">
        <v>21</v>
      </c>
      <c r="G43">
        <v>19</v>
      </c>
      <c r="H43">
        <v>17</v>
      </c>
      <c r="I43">
        <v>17</v>
      </c>
      <c r="J43">
        <v>19</v>
      </c>
      <c r="K43">
        <v>8</v>
      </c>
      <c r="L43">
        <v>21</v>
      </c>
      <c r="M43">
        <v>18</v>
      </c>
      <c r="N43">
        <v>18</v>
      </c>
      <c r="O43">
        <v>18</v>
      </c>
      <c r="P43">
        <f t="shared" si="0"/>
        <v>-4</v>
      </c>
      <c r="Q43">
        <f t="shared" si="1"/>
        <v>-18.181818181818173</v>
      </c>
    </row>
    <row r="44" spans="1:17">
      <c r="A44" t="s">
        <v>43</v>
      </c>
      <c r="B44">
        <v>7</v>
      </c>
      <c r="C44">
        <v>18</v>
      </c>
      <c r="D44">
        <v>3</v>
      </c>
      <c r="E44">
        <v>12</v>
      </c>
      <c r="F44">
        <v>6</v>
      </c>
      <c r="G44">
        <v>9</v>
      </c>
      <c r="H44">
        <v>15</v>
      </c>
      <c r="I44">
        <v>5</v>
      </c>
      <c r="J44">
        <v>2</v>
      </c>
      <c r="K44">
        <v>3</v>
      </c>
      <c r="L44">
        <v>2</v>
      </c>
      <c r="M44">
        <v>7</v>
      </c>
      <c r="N44">
        <v>9</v>
      </c>
      <c r="O44">
        <v>5</v>
      </c>
      <c r="P44">
        <f t="shared" si="0"/>
        <v>-2</v>
      </c>
      <c r="Q44">
        <f t="shared" si="1"/>
        <v>-28.571428571428569</v>
      </c>
    </row>
    <row r="45" spans="1:17">
      <c r="A45" t="s">
        <v>44</v>
      </c>
      <c r="B45">
        <v>9</v>
      </c>
      <c r="C45">
        <v>10</v>
      </c>
      <c r="D45">
        <v>5</v>
      </c>
      <c r="E45">
        <v>4</v>
      </c>
      <c r="F45">
        <v>10</v>
      </c>
      <c r="G45">
        <v>9</v>
      </c>
      <c r="H45">
        <v>2</v>
      </c>
      <c r="I45">
        <v>9</v>
      </c>
      <c r="J45">
        <v>5</v>
      </c>
      <c r="K45">
        <v>5</v>
      </c>
      <c r="L45">
        <v>4</v>
      </c>
      <c r="M45">
        <v>3</v>
      </c>
      <c r="N45">
        <v>6</v>
      </c>
      <c r="O45">
        <v>1</v>
      </c>
      <c r="P45">
        <f t="shared" si="0"/>
        <v>-8</v>
      </c>
      <c r="Q45">
        <f t="shared" si="1"/>
        <v>-88.888888888888886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0B3-B640-D245-BFF9-FFB8003C33D6}">
  <dimension ref="A1:M45"/>
  <sheetViews>
    <sheetView zoomScale="89" workbookViewId="0">
      <selection activeCell="G11" sqref="G11"/>
    </sheetView>
  </sheetViews>
  <sheetFormatPr baseColWidth="10" defaultRowHeight="20"/>
  <sheetData>
    <row r="1" spans="1:13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t="s">
        <v>45</v>
      </c>
      <c r="M1" t="s">
        <v>48</v>
      </c>
    </row>
    <row r="2" spans="1:13">
      <c r="A2" t="s">
        <v>1</v>
      </c>
      <c r="B2">
        <v>239</v>
      </c>
      <c r="C2">
        <v>239</v>
      </c>
      <c r="D2">
        <v>355</v>
      </c>
      <c r="E2">
        <v>202</v>
      </c>
      <c r="F2">
        <v>298</v>
      </c>
      <c r="G2">
        <v>227</v>
      </c>
      <c r="H2">
        <v>187</v>
      </c>
      <c r="I2">
        <v>175</v>
      </c>
      <c r="J2">
        <v>312</v>
      </c>
      <c r="K2">
        <v>234</v>
      </c>
      <c r="L2">
        <f>K2-B2</f>
        <v>-5</v>
      </c>
      <c r="M2">
        <f>K2/B2*100 - 100</f>
        <v>-2.092050209205027</v>
      </c>
    </row>
    <row r="3" spans="1:13">
      <c r="A3" t="s">
        <v>2</v>
      </c>
      <c r="B3">
        <v>679</v>
      </c>
      <c r="C3">
        <v>515</v>
      </c>
      <c r="D3">
        <v>536</v>
      </c>
      <c r="E3">
        <v>529</v>
      </c>
      <c r="F3">
        <v>435</v>
      </c>
      <c r="G3">
        <v>485</v>
      </c>
      <c r="H3">
        <v>401</v>
      </c>
      <c r="I3">
        <v>398</v>
      </c>
      <c r="J3">
        <v>408</v>
      </c>
      <c r="K3">
        <v>405</v>
      </c>
      <c r="L3">
        <f t="shared" ref="L3:L45" si="0">K3-B3</f>
        <v>-274</v>
      </c>
      <c r="M3">
        <f t="shared" ref="M3:M45" si="1">K3/B3*100 - 100</f>
        <v>-40.353460972017672</v>
      </c>
    </row>
    <row r="4" spans="1:13">
      <c r="A4" t="s">
        <v>3</v>
      </c>
      <c r="B4">
        <v>408</v>
      </c>
      <c r="C4">
        <v>349</v>
      </c>
      <c r="D4">
        <v>349</v>
      </c>
      <c r="E4">
        <v>293</v>
      </c>
      <c r="F4">
        <v>276</v>
      </c>
      <c r="G4">
        <v>359</v>
      </c>
      <c r="H4">
        <v>232</v>
      </c>
      <c r="I4">
        <v>284</v>
      </c>
      <c r="J4">
        <v>325</v>
      </c>
      <c r="K4">
        <v>390</v>
      </c>
      <c r="L4">
        <f t="shared" si="0"/>
        <v>-18</v>
      </c>
      <c r="M4">
        <f t="shared" si="1"/>
        <v>-4.4117647058823479</v>
      </c>
    </row>
    <row r="5" spans="1:13">
      <c r="A5" t="s">
        <v>4</v>
      </c>
      <c r="B5">
        <v>1351</v>
      </c>
      <c r="C5">
        <v>1365</v>
      </c>
      <c r="D5">
        <v>1279</v>
      </c>
      <c r="E5">
        <v>1227</v>
      </c>
      <c r="F5">
        <v>1309</v>
      </c>
      <c r="G5">
        <v>1181</v>
      </c>
      <c r="H5">
        <v>1176</v>
      </c>
      <c r="I5">
        <v>1197</v>
      </c>
      <c r="J5">
        <v>1165</v>
      </c>
      <c r="K5">
        <v>1087</v>
      </c>
      <c r="L5">
        <f t="shared" si="0"/>
        <v>-264</v>
      </c>
      <c r="M5">
        <f t="shared" si="1"/>
        <v>-19.541080680977046</v>
      </c>
    </row>
    <row r="6" spans="1:13">
      <c r="A6" t="s">
        <v>5</v>
      </c>
      <c r="B6">
        <v>1984</v>
      </c>
      <c r="C6">
        <v>1810</v>
      </c>
      <c r="D6">
        <v>1775</v>
      </c>
      <c r="E6">
        <v>1852</v>
      </c>
      <c r="F6">
        <v>1714</v>
      </c>
      <c r="G6">
        <v>1786</v>
      </c>
      <c r="H6">
        <v>1870</v>
      </c>
      <c r="I6">
        <v>1771</v>
      </c>
      <c r="J6">
        <v>1678</v>
      </c>
      <c r="K6">
        <v>1686</v>
      </c>
      <c r="L6">
        <f t="shared" si="0"/>
        <v>-298</v>
      </c>
      <c r="M6">
        <f t="shared" si="1"/>
        <v>-15.020161290322577</v>
      </c>
    </row>
    <row r="7" spans="1:13">
      <c r="A7" t="s">
        <v>6</v>
      </c>
      <c r="B7">
        <v>773</v>
      </c>
      <c r="C7">
        <v>710</v>
      </c>
      <c r="D7">
        <v>669</v>
      </c>
      <c r="E7">
        <v>852</v>
      </c>
      <c r="F7">
        <v>717</v>
      </c>
      <c r="G7">
        <v>619</v>
      </c>
      <c r="H7">
        <v>626</v>
      </c>
      <c r="I7">
        <v>644</v>
      </c>
      <c r="J7">
        <v>621</v>
      </c>
      <c r="K7">
        <v>572</v>
      </c>
      <c r="L7">
        <f t="shared" si="0"/>
        <v>-201</v>
      </c>
      <c r="M7">
        <f t="shared" si="1"/>
        <v>-26.002587322121613</v>
      </c>
    </row>
    <row r="8" spans="1:13">
      <c r="A8" t="s">
        <v>7</v>
      </c>
      <c r="B8">
        <v>1205</v>
      </c>
      <c r="C8">
        <v>1123</v>
      </c>
      <c r="D8">
        <v>1139</v>
      </c>
      <c r="E8">
        <v>1156</v>
      </c>
      <c r="F8">
        <v>1093</v>
      </c>
      <c r="G8">
        <v>1139</v>
      </c>
      <c r="H8">
        <v>941</v>
      </c>
      <c r="I8">
        <v>949</v>
      </c>
      <c r="J8">
        <v>824</v>
      </c>
      <c r="K8">
        <v>1058</v>
      </c>
      <c r="L8">
        <f t="shared" si="0"/>
        <v>-147</v>
      </c>
      <c r="M8">
        <f t="shared" si="1"/>
        <v>-12.199170124481327</v>
      </c>
    </row>
    <row r="9" spans="1:13">
      <c r="A9" t="s">
        <v>8</v>
      </c>
      <c r="B9">
        <v>1349</v>
      </c>
      <c r="C9">
        <v>1335</v>
      </c>
      <c r="D9">
        <v>1301</v>
      </c>
      <c r="E9">
        <v>1261</v>
      </c>
      <c r="F9">
        <v>1362</v>
      </c>
      <c r="G9">
        <v>1292</v>
      </c>
      <c r="H9">
        <v>1412</v>
      </c>
      <c r="I9">
        <v>1244</v>
      </c>
      <c r="J9">
        <v>1033</v>
      </c>
      <c r="K9">
        <v>1210</v>
      </c>
      <c r="L9">
        <f t="shared" si="0"/>
        <v>-139</v>
      </c>
      <c r="M9">
        <f t="shared" si="1"/>
        <v>-10.303928836174947</v>
      </c>
    </row>
    <row r="10" spans="1:13">
      <c r="A10" t="s">
        <v>9</v>
      </c>
      <c r="B10">
        <v>1397</v>
      </c>
      <c r="C10">
        <v>1510</v>
      </c>
      <c r="D10">
        <v>1438</v>
      </c>
      <c r="E10">
        <v>1649</v>
      </c>
      <c r="F10">
        <v>1390</v>
      </c>
      <c r="G10">
        <v>1365</v>
      </c>
      <c r="H10">
        <v>1436</v>
      </c>
      <c r="I10">
        <v>1411</v>
      </c>
      <c r="J10">
        <v>1343</v>
      </c>
      <c r="K10">
        <v>1281</v>
      </c>
      <c r="L10">
        <f t="shared" si="0"/>
        <v>-116</v>
      </c>
      <c r="M10">
        <f t="shared" si="1"/>
        <v>-8.3035075161059524</v>
      </c>
    </row>
    <row r="11" spans="1:13">
      <c r="A11" t="s">
        <v>10</v>
      </c>
      <c r="B11">
        <v>1273</v>
      </c>
      <c r="C11">
        <v>1239</v>
      </c>
      <c r="D11">
        <v>1176</v>
      </c>
      <c r="E11">
        <v>1123</v>
      </c>
      <c r="F11">
        <v>1235</v>
      </c>
      <c r="G11">
        <v>1097</v>
      </c>
      <c r="H11">
        <v>1485</v>
      </c>
      <c r="I11">
        <v>1237</v>
      </c>
      <c r="J11">
        <v>1080</v>
      </c>
      <c r="K11">
        <v>1011</v>
      </c>
      <c r="L11">
        <f t="shared" si="0"/>
        <v>-262</v>
      </c>
      <c r="M11">
        <f t="shared" si="1"/>
        <v>-20.581304006284356</v>
      </c>
    </row>
    <row r="12" spans="1:13">
      <c r="A12" t="s">
        <v>11</v>
      </c>
      <c r="B12">
        <v>1611</v>
      </c>
      <c r="C12">
        <v>1473</v>
      </c>
      <c r="D12">
        <v>1437</v>
      </c>
      <c r="E12">
        <v>1267</v>
      </c>
      <c r="F12">
        <v>1384</v>
      </c>
      <c r="G12">
        <v>1455</v>
      </c>
      <c r="H12">
        <v>1314</v>
      </c>
      <c r="I12">
        <v>1174</v>
      </c>
      <c r="J12">
        <v>1173</v>
      </c>
      <c r="K12">
        <v>1178</v>
      </c>
      <c r="L12">
        <f t="shared" si="0"/>
        <v>-433</v>
      </c>
      <c r="M12">
        <f t="shared" si="1"/>
        <v>-26.87771570453134</v>
      </c>
    </row>
    <row r="13" spans="1:13">
      <c r="A13" t="s">
        <v>12</v>
      </c>
      <c r="B13">
        <v>975</v>
      </c>
      <c r="C13">
        <v>914</v>
      </c>
      <c r="D13">
        <v>910</v>
      </c>
      <c r="E13">
        <v>981</v>
      </c>
      <c r="F13">
        <v>877</v>
      </c>
      <c r="G13">
        <v>977</v>
      </c>
      <c r="H13">
        <v>807</v>
      </c>
      <c r="I13">
        <v>701</v>
      </c>
      <c r="J13">
        <v>765</v>
      </c>
      <c r="K13">
        <v>714</v>
      </c>
      <c r="L13">
        <f t="shared" si="0"/>
        <v>-261</v>
      </c>
      <c r="M13">
        <f t="shared" si="1"/>
        <v>-26.769230769230774</v>
      </c>
    </row>
    <row r="14" spans="1:13">
      <c r="A14" t="s">
        <v>13</v>
      </c>
      <c r="B14">
        <v>518</v>
      </c>
      <c r="C14">
        <v>535</v>
      </c>
      <c r="D14">
        <v>480</v>
      </c>
      <c r="E14">
        <v>544</v>
      </c>
      <c r="F14">
        <v>590</v>
      </c>
      <c r="G14">
        <v>545</v>
      </c>
      <c r="H14">
        <v>438</v>
      </c>
      <c r="I14">
        <v>455</v>
      </c>
      <c r="J14">
        <v>403</v>
      </c>
      <c r="K14">
        <v>435</v>
      </c>
      <c r="L14">
        <f t="shared" si="0"/>
        <v>-83</v>
      </c>
      <c r="M14">
        <f t="shared" si="1"/>
        <v>-16.023166023166027</v>
      </c>
    </row>
    <row r="15" spans="1:13">
      <c r="A15" t="s">
        <v>14</v>
      </c>
      <c r="B15">
        <v>689</v>
      </c>
      <c r="C15">
        <v>589</v>
      </c>
      <c r="D15">
        <v>563</v>
      </c>
      <c r="E15">
        <v>594</v>
      </c>
      <c r="F15">
        <v>592</v>
      </c>
      <c r="G15">
        <v>486</v>
      </c>
      <c r="H15">
        <v>507</v>
      </c>
      <c r="I15">
        <v>538</v>
      </c>
      <c r="J15">
        <v>472</v>
      </c>
      <c r="K15">
        <v>428</v>
      </c>
      <c r="L15">
        <f t="shared" si="0"/>
        <v>-261</v>
      </c>
      <c r="M15">
        <f t="shared" si="1"/>
        <v>-37.880986937590713</v>
      </c>
    </row>
    <row r="16" spans="1:13">
      <c r="A16" t="s">
        <v>15</v>
      </c>
      <c r="B16">
        <v>232</v>
      </c>
      <c r="C16">
        <v>241</v>
      </c>
      <c r="D16">
        <v>181</v>
      </c>
      <c r="E16">
        <v>226</v>
      </c>
      <c r="F16">
        <v>196</v>
      </c>
      <c r="G16">
        <v>218</v>
      </c>
      <c r="H16">
        <v>169</v>
      </c>
      <c r="I16">
        <v>174</v>
      </c>
      <c r="J16">
        <v>163</v>
      </c>
      <c r="K16">
        <v>158</v>
      </c>
      <c r="L16">
        <f t="shared" si="0"/>
        <v>-74</v>
      </c>
      <c r="M16">
        <f t="shared" si="1"/>
        <v>-31.896551724137936</v>
      </c>
    </row>
    <row r="17" spans="1:13">
      <c r="A17" t="s">
        <v>16</v>
      </c>
      <c r="B17">
        <v>258</v>
      </c>
      <c r="C17">
        <v>254</v>
      </c>
      <c r="D17">
        <v>238</v>
      </c>
      <c r="E17">
        <v>229</v>
      </c>
      <c r="F17">
        <v>223</v>
      </c>
      <c r="G17">
        <v>242</v>
      </c>
      <c r="H17">
        <v>250</v>
      </c>
      <c r="I17">
        <v>248</v>
      </c>
      <c r="J17">
        <v>174</v>
      </c>
      <c r="K17">
        <v>215</v>
      </c>
      <c r="L17">
        <f t="shared" si="0"/>
        <v>-43</v>
      </c>
      <c r="M17">
        <f t="shared" si="1"/>
        <v>-16.666666666666657</v>
      </c>
    </row>
    <row r="18" spans="1:13">
      <c r="A18" t="s">
        <v>17</v>
      </c>
      <c r="B18">
        <v>1247</v>
      </c>
      <c r="C18">
        <v>1081</v>
      </c>
      <c r="D18">
        <v>1118</v>
      </c>
      <c r="E18">
        <v>1047</v>
      </c>
      <c r="F18">
        <v>1101</v>
      </c>
      <c r="G18">
        <v>1064</v>
      </c>
      <c r="H18">
        <v>1147</v>
      </c>
      <c r="I18">
        <v>918</v>
      </c>
      <c r="J18">
        <v>1032</v>
      </c>
      <c r="K18">
        <v>888</v>
      </c>
      <c r="L18">
        <f t="shared" si="0"/>
        <v>-359</v>
      </c>
      <c r="M18">
        <f t="shared" si="1"/>
        <v>-28.78909382518043</v>
      </c>
    </row>
    <row r="19" spans="1:13">
      <c r="A19" t="s">
        <v>18</v>
      </c>
      <c r="B19">
        <v>608</v>
      </c>
      <c r="C19">
        <v>559</v>
      </c>
      <c r="D19">
        <v>584</v>
      </c>
      <c r="E19">
        <v>467</v>
      </c>
      <c r="F19">
        <v>485</v>
      </c>
      <c r="G19">
        <v>467</v>
      </c>
      <c r="H19">
        <v>528</v>
      </c>
      <c r="I19">
        <v>508</v>
      </c>
      <c r="J19">
        <v>408</v>
      </c>
      <c r="K19">
        <v>507</v>
      </c>
      <c r="L19">
        <f t="shared" si="0"/>
        <v>-101</v>
      </c>
      <c r="M19">
        <f t="shared" si="1"/>
        <v>-16.61184210526315</v>
      </c>
    </row>
    <row r="20" spans="1:13">
      <c r="A20" t="s">
        <v>19</v>
      </c>
      <c r="B20">
        <v>455</v>
      </c>
      <c r="C20">
        <v>508</v>
      </c>
      <c r="D20">
        <v>518</v>
      </c>
      <c r="E20">
        <v>589</v>
      </c>
      <c r="F20">
        <v>474</v>
      </c>
      <c r="G20">
        <v>552</v>
      </c>
      <c r="H20">
        <v>534</v>
      </c>
      <c r="I20">
        <v>481</v>
      </c>
      <c r="J20">
        <v>395</v>
      </c>
      <c r="K20">
        <v>378</v>
      </c>
      <c r="L20">
        <f t="shared" si="0"/>
        <v>-77</v>
      </c>
      <c r="M20">
        <f t="shared" si="1"/>
        <v>-16.92307692307692</v>
      </c>
    </row>
    <row r="21" spans="1:13">
      <c r="A21" t="s">
        <v>20</v>
      </c>
      <c r="B21">
        <v>460</v>
      </c>
      <c r="C21">
        <v>450</v>
      </c>
      <c r="D21">
        <v>517</v>
      </c>
      <c r="E21">
        <v>504</v>
      </c>
      <c r="F21">
        <v>507</v>
      </c>
      <c r="G21">
        <v>469</v>
      </c>
      <c r="H21">
        <v>504</v>
      </c>
      <c r="I21">
        <v>542</v>
      </c>
      <c r="J21">
        <v>513</v>
      </c>
      <c r="K21">
        <v>427</v>
      </c>
      <c r="L21">
        <f t="shared" si="0"/>
        <v>-33</v>
      </c>
      <c r="M21">
        <f t="shared" si="1"/>
        <v>-7.1739130434782652</v>
      </c>
    </row>
    <row r="22" spans="1:13">
      <c r="A22" t="s">
        <v>21</v>
      </c>
      <c r="B22">
        <v>1267</v>
      </c>
      <c r="C22">
        <v>1162</v>
      </c>
      <c r="D22">
        <v>1115</v>
      </c>
      <c r="E22">
        <v>1221</v>
      </c>
      <c r="F22">
        <v>1293</v>
      </c>
      <c r="G22">
        <v>1152</v>
      </c>
      <c r="H22">
        <v>1170</v>
      </c>
      <c r="I22">
        <v>1049</v>
      </c>
      <c r="J22">
        <v>1039</v>
      </c>
      <c r="K22">
        <v>917</v>
      </c>
      <c r="L22">
        <f t="shared" si="0"/>
        <v>-350</v>
      </c>
      <c r="M22">
        <f t="shared" si="1"/>
        <v>-27.624309392265189</v>
      </c>
    </row>
    <row r="23" spans="1:13">
      <c r="A23" t="s">
        <v>22</v>
      </c>
      <c r="B23">
        <v>9</v>
      </c>
      <c r="C23">
        <v>6</v>
      </c>
      <c r="D23">
        <v>14</v>
      </c>
      <c r="E23">
        <v>8</v>
      </c>
      <c r="F23">
        <v>15</v>
      </c>
      <c r="G23">
        <v>16</v>
      </c>
      <c r="H23">
        <v>5</v>
      </c>
      <c r="I23">
        <v>16</v>
      </c>
      <c r="J23">
        <v>20</v>
      </c>
      <c r="K23">
        <v>11</v>
      </c>
      <c r="L23">
        <f t="shared" si="0"/>
        <v>2</v>
      </c>
      <c r="M23">
        <f t="shared" si="1"/>
        <v>22.222222222222229</v>
      </c>
    </row>
    <row r="24" spans="1:13">
      <c r="A24" t="s">
        <v>23</v>
      </c>
      <c r="B24">
        <v>17</v>
      </c>
      <c r="C24">
        <v>8</v>
      </c>
      <c r="D24">
        <v>8</v>
      </c>
      <c r="E24">
        <v>6</v>
      </c>
      <c r="F24">
        <v>11</v>
      </c>
      <c r="G24">
        <v>17</v>
      </c>
      <c r="H24">
        <v>8</v>
      </c>
      <c r="I24">
        <v>11</v>
      </c>
      <c r="J24">
        <v>17</v>
      </c>
      <c r="K24">
        <v>7</v>
      </c>
      <c r="L24">
        <f t="shared" si="0"/>
        <v>-10</v>
      </c>
      <c r="M24">
        <f t="shared" si="1"/>
        <v>-58.82352941176471</v>
      </c>
    </row>
    <row r="25" spans="1:13">
      <c r="A25" t="s">
        <v>24</v>
      </c>
      <c r="B25">
        <v>1740</v>
      </c>
      <c r="C25">
        <v>1557</v>
      </c>
      <c r="D25">
        <v>1594</v>
      </c>
      <c r="E25">
        <v>1715</v>
      </c>
      <c r="F25">
        <v>1525</v>
      </c>
      <c r="G25">
        <v>1642</v>
      </c>
      <c r="H25">
        <v>1401</v>
      </c>
      <c r="I25">
        <v>1351</v>
      </c>
      <c r="J25">
        <v>1337</v>
      </c>
      <c r="K25">
        <v>1353</v>
      </c>
      <c r="L25">
        <f t="shared" si="0"/>
        <v>-387</v>
      </c>
      <c r="M25">
        <f t="shared" si="1"/>
        <v>-22.241379310344826</v>
      </c>
    </row>
    <row r="26" spans="1:13">
      <c r="A26" t="s">
        <v>25</v>
      </c>
      <c r="B26">
        <v>283</v>
      </c>
      <c r="C26">
        <v>298</v>
      </c>
      <c r="D26">
        <v>277</v>
      </c>
      <c r="E26">
        <v>313</v>
      </c>
      <c r="F26">
        <v>285</v>
      </c>
      <c r="G26">
        <v>269</v>
      </c>
      <c r="H26">
        <v>261</v>
      </c>
      <c r="I26">
        <v>271</v>
      </c>
      <c r="J26">
        <v>210</v>
      </c>
      <c r="K26">
        <v>243</v>
      </c>
      <c r="L26">
        <f t="shared" si="0"/>
        <v>-40</v>
      </c>
      <c r="M26">
        <f t="shared" si="1"/>
        <v>-14.134275618374559</v>
      </c>
    </row>
    <row r="27" spans="1:13">
      <c r="A27" t="s">
        <v>26</v>
      </c>
      <c r="B27">
        <v>2</v>
      </c>
      <c r="C27">
        <v>1</v>
      </c>
      <c r="D27">
        <v>4</v>
      </c>
      <c r="E27">
        <v>3</v>
      </c>
      <c r="F27">
        <v>10</v>
      </c>
      <c r="G27">
        <v>2</v>
      </c>
      <c r="H27">
        <v>4</v>
      </c>
      <c r="I27">
        <v>1</v>
      </c>
      <c r="J27">
        <v>1</v>
      </c>
      <c r="K27">
        <v>0</v>
      </c>
      <c r="L27">
        <f t="shared" si="0"/>
        <v>-2</v>
      </c>
      <c r="M27">
        <f t="shared" si="1"/>
        <v>-100</v>
      </c>
    </row>
    <row r="28" spans="1:13">
      <c r="A28" t="s">
        <v>27</v>
      </c>
      <c r="B28">
        <v>257</v>
      </c>
      <c r="C28">
        <v>212</v>
      </c>
      <c r="D28">
        <v>215</v>
      </c>
      <c r="E28">
        <v>206</v>
      </c>
      <c r="F28">
        <v>168</v>
      </c>
      <c r="G28">
        <v>160</v>
      </c>
      <c r="H28">
        <v>109</v>
      </c>
      <c r="I28">
        <v>83</v>
      </c>
      <c r="J28">
        <v>84</v>
      </c>
      <c r="K28">
        <v>92</v>
      </c>
      <c r="L28">
        <f t="shared" si="0"/>
        <v>-165</v>
      </c>
      <c r="M28">
        <f t="shared" si="1"/>
        <v>-64.202334630350194</v>
      </c>
    </row>
    <row r="29" spans="1:13">
      <c r="A29" t="s">
        <v>28</v>
      </c>
      <c r="B29">
        <v>4</v>
      </c>
      <c r="C29">
        <v>12</v>
      </c>
      <c r="D29">
        <v>8</v>
      </c>
      <c r="E29">
        <v>20</v>
      </c>
      <c r="F29">
        <v>10</v>
      </c>
      <c r="G29">
        <v>16</v>
      </c>
      <c r="H29">
        <v>13</v>
      </c>
      <c r="I29">
        <v>15</v>
      </c>
      <c r="J29">
        <v>17</v>
      </c>
      <c r="K29">
        <v>12</v>
      </c>
      <c r="L29">
        <f t="shared" si="0"/>
        <v>8</v>
      </c>
      <c r="M29">
        <f t="shared" si="1"/>
        <v>200</v>
      </c>
    </row>
    <row r="30" spans="1:13">
      <c r="A30" t="s">
        <v>29</v>
      </c>
      <c r="B30">
        <v>603</v>
      </c>
      <c r="C30">
        <v>613</v>
      </c>
      <c r="D30">
        <v>548</v>
      </c>
      <c r="E30">
        <v>602</v>
      </c>
      <c r="F30">
        <v>607</v>
      </c>
      <c r="G30">
        <v>564</v>
      </c>
      <c r="H30">
        <v>579</v>
      </c>
      <c r="I30">
        <v>578</v>
      </c>
      <c r="J30">
        <v>535</v>
      </c>
      <c r="K30">
        <v>537</v>
      </c>
      <c r="L30">
        <f t="shared" si="0"/>
        <v>-66</v>
      </c>
      <c r="M30">
        <f t="shared" si="1"/>
        <v>-10.945273631840791</v>
      </c>
    </row>
    <row r="31" spans="1:13">
      <c r="A31" t="s">
        <v>30</v>
      </c>
      <c r="B31">
        <v>403</v>
      </c>
      <c r="C31">
        <v>379</v>
      </c>
      <c r="D31">
        <v>399</v>
      </c>
      <c r="E31">
        <v>342</v>
      </c>
      <c r="F31">
        <v>359</v>
      </c>
      <c r="G31">
        <v>361</v>
      </c>
      <c r="H31">
        <v>354</v>
      </c>
      <c r="I31">
        <v>412</v>
      </c>
      <c r="J31">
        <v>344</v>
      </c>
      <c r="K31">
        <v>378</v>
      </c>
      <c r="L31">
        <f t="shared" si="0"/>
        <v>-25</v>
      </c>
      <c r="M31">
        <f t="shared" si="1"/>
        <v>-6.2034739454094279</v>
      </c>
    </row>
    <row r="32" spans="1:13">
      <c r="A32" t="s">
        <v>31</v>
      </c>
      <c r="B32">
        <v>3358</v>
      </c>
      <c r="C32">
        <v>3230</v>
      </c>
      <c r="D32">
        <v>3329</v>
      </c>
      <c r="E32">
        <v>3227</v>
      </c>
      <c r="F32">
        <v>3559</v>
      </c>
      <c r="G32">
        <v>3354</v>
      </c>
      <c r="H32">
        <v>3059</v>
      </c>
      <c r="I32">
        <v>2850</v>
      </c>
      <c r="J32">
        <v>2685</v>
      </c>
      <c r="K32">
        <v>2457</v>
      </c>
      <c r="L32">
        <f t="shared" si="0"/>
        <v>-901</v>
      </c>
      <c r="M32">
        <f t="shared" si="1"/>
        <v>-26.831447290053603</v>
      </c>
    </row>
    <row r="33" spans="1:13">
      <c r="A33" t="s">
        <v>32</v>
      </c>
      <c r="B33">
        <v>200</v>
      </c>
      <c r="C33">
        <v>253</v>
      </c>
      <c r="D33">
        <v>257</v>
      </c>
      <c r="E33">
        <v>263</v>
      </c>
      <c r="F33">
        <v>273</v>
      </c>
      <c r="G33">
        <v>259</v>
      </c>
      <c r="H33">
        <v>263</v>
      </c>
      <c r="I33">
        <v>221</v>
      </c>
      <c r="J33">
        <v>250</v>
      </c>
      <c r="K33">
        <v>224</v>
      </c>
      <c r="L33">
        <f t="shared" si="0"/>
        <v>24</v>
      </c>
      <c r="M33">
        <f t="shared" si="1"/>
        <v>12.000000000000014</v>
      </c>
    </row>
    <row r="34" spans="1:13">
      <c r="A34" t="s">
        <v>33</v>
      </c>
      <c r="B34">
        <v>39</v>
      </c>
      <c r="C34">
        <v>36</v>
      </c>
      <c r="D34">
        <v>32</v>
      </c>
      <c r="E34">
        <v>34</v>
      </c>
      <c r="F34">
        <v>29</v>
      </c>
      <c r="G34">
        <v>31</v>
      </c>
      <c r="H34">
        <v>26</v>
      </c>
      <c r="I34">
        <v>34</v>
      </c>
      <c r="J34">
        <v>13</v>
      </c>
      <c r="K34">
        <v>37</v>
      </c>
      <c r="L34">
        <f t="shared" si="0"/>
        <v>-2</v>
      </c>
      <c r="M34">
        <f t="shared" si="1"/>
        <v>-5.1282051282051384</v>
      </c>
    </row>
    <row r="35" spans="1:13">
      <c r="A35" t="s">
        <v>34</v>
      </c>
      <c r="B35">
        <v>20</v>
      </c>
      <c r="C35">
        <v>18</v>
      </c>
      <c r="D35">
        <v>19</v>
      </c>
      <c r="E35">
        <v>18</v>
      </c>
      <c r="F35">
        <v>26</v>
      </c>
      <c r="G35">
        <v>14</v>
      </c>
      <c r="H35">
        <v>19</v>
      </c>
      <c r="I35">
        <v>24</v>
      </c>
      <c r="J35">
        <v>14</v>
      </c>
      <c r="K35">
        <v>7</v>
      </c>
      <c r="L35">
        <f t="shared" si="0"/>
        <v>-13</v>
      </c>
      <c r="M35">
        <f t="shared" si="1"/>
        <v>-65</v>
      </c>
    </row>
    <row r="36" spans="1:13">
      <c r="A36" t="s">
        <v>35</v>
      </c>
      <c r="B36">
        <v>7</v>
      </c>
      <c r="C36">
        <v>6</v>
      </c>
      <c r="D36">
        <v>12</v>
      </c>
      <c r="E36">
        <v>66</v>
      </c>
      <c r="F36">
        <v>23</v>
      </c>
      <c r="G36">
        <v>18</v>
      </c>
      <c r="H36">
        <v>14</v>
      </c>
      <c r="I36">
        <v>22</v>
      </c>
      <c r="J36">
        <v>15</v>
      </c>
      <c r="K36">
        <v>11</v>
      </c>
      <c r="L36">
        <f t="shared" si="0"/>
        <v>4</v>
      </c>
      <c r="M36">
        <f t="shared" si="1"/>
        <v>57.142857142857139</v>
      </c>
    </row>
    <row r="37" spans="1:13">
      <c r="A37" t="s">
        <v>36</v>
      </c>
      <c r="B37">
        <v>69</v>
      </c>
      <c r="C37">
        <v>43</v>
      </c>
      <c r="D37">
        <v>51</v>
      </c>
      <c r="E37">
        <v>57</v>
      </c>
      <c r="F37">
        <v>48</v>
      </c>
      <c r="G37">
        <v>62</v>
      </c>
      <c r="H37">
        <v>51</v>
      </c>
      <c r="I37">
        <v>52</v>
      </c>
      <c r="J37">
        <v>54</v>
      </c>
      <c r="K37">
        <v>65</v>
      </c>
      <c r="L37">
        <f t="shared" si="0"/>
        <v>-4</v>
      </c>
      <c r="M37">
        <f t="shared" si="1"/>
        <v>-5.7971014492753596</v>
      </c>
    </row>
    <row r="38" spans="1:13">
      <c r="A38" t="s">
        <v>37</v>
      </c>
      <c r="B38">
        <v>42</v>
      </c>
      <c r="C38">
        <v>35</v>
      </c>
      <c r="D38">
        <v>49</v>
      </c>
      <c r="E38">
        <v>57</v>
      </c>
      <c r="F38">
        <v>58</v>
      </c>
      <c r="G38">
        <v>36</v>
      </c>
      <c r="H38">
        <v>37</v>
      </c>
      <c r="I38">
        <v>33</v>
      </c>
      <c r="J38">
        <v>27</v>
      </c>
      <c r="K38">
        <v>38</v>
      </c>
      <c r="L38">
        <f t="shared" si="0"/>
        <v>-4</v>
      </c>
      <c r="M38">
        <f t="shared" si="1"/>
        <v>-9.5238095238095184</v>
      </c>
    </row>
    <row r="39" spans="1:13">
      <c r="A39" t="s">
        <v>38</v>
      </c>
      <c r="B39">
        <v>335</v>
      </c>
      <c r="C39">
        <v>342</v>
      </c>
      <c r="D39">
        <v>331</v>
      </c>
      <c r="E39">
        <v>328</v>
      </c>
      <c r="F39">
        <v>305</v>
      </c>
      <c r="G39">
        <v>265</v>
      </c>
      <c r="H39">
        <v>325</v>
      </c>
      <c r="I39">
        <v>317</v>
      </c>
      <c r="J39">
        <v>311</v>
      </c>
      <c r="K39">
        <v>367</v>
      </c>
      <c r="L39">
        <f t="shared" si="0"/>
        <v>32</v>
      </c>
      <c r="M39">
        <f t="shared" si="1"/>
        <v>9.5522388059701626</v>
      </c>
    </row>
    <row r="40" spans="1:13">
      <c r="A40" t="s">
        <v>39</v>
      </c>
      <c r="B40">
        <v>173</v>
      </c>
      <c r="C40">
        <v>128</v>
      </c>
      <c r="D40">
        <v>152</v>
      </c>
      <c r="E40">
        <v>172</v>
      </c>
      <c r="F40">
        <v>162</v>
      </c>
      <c r="G40">
        <v>104</v>
      </c>
      <c r="H40">
        <v>162</v>
      </c>
      <c r="I40">
        <v>148</v>
      </c>
      <c r="J40">
        <v>130</v>
      </c>
      <c r="K40">
        <v>102</v>
      </c>
      <c r="L40">
        <f t="shared" si="0"/>
        <v>-71</v>
      </c>
      <c r="M40">
        <f t="shared" si="1"/>
        <v>-41.040462427745659</v>
      </c>
    </row>
    <row r="41" spans="1:13">
      <c r="A41" t="s">
        <v>40</v>
      </c>
      <c r="B41">
        <v>188</v>
      </c>
      <c r="C41">
        <v>213</v>
      </c>
      <c r="D41">
        <v>205</v>
      </c>
      <c r="E41">
        <v>193</v>
      </c>
      <c r="F41">
        <v>203</v>
      </c>
      <c r="G41">
        <v>154</v>
      </c>
      <c r="H41">
        <v>179</v>
      </c>
      <c r="I41">
        <v>211</v>
      </c>
      <c r="J41">
        <v>175</v>
      </c>
      <c r="K41">
        <v>140</v>
      </c>
      <c r="L41">
        <f t="shared" si="0"/>
        <v>-48</v>
      </c>
      <c r="M41">
        <f t="shared" si="1"/>
        <v>-25.531914893617028</v>
      </c>
    </row>
    <row r="42" spans="1:13">
      <c r="A42" t="s">
        <v>41</v>
      </c>
      <c r="B42">
        <v>2</v>
      </c>
      <c r="C42">
        <v>5</v>
      </c>
      <c r="D42">
        <v>1</v>
      </c>
      <c r="E42">
        <v>3</v>
      </c>
      <c r="F42">
        <v>2</v>
      </c>
      <c r="G42">
        <v>1</v>
      </c>
      <c r="H42">
        <v>5</v>
      </c>
      <c r="I42">
        <v>1</v>
      </c>
      <c r="J42">
        <v>7</v>
      </c>
      <c r="K42">
        <v>2</v>
      </c>
      <c r="L42">
        <f t="shared" si="0"/>
        <v>0</v>
      </c>
      <c r="M42">
        <f t="shared" si="1"/>
        <v>0</v>
      </c>
    </row>
    <row r="43" spans="1:13">
      <c r="A43" t="s">
        <v>42</v>
      </c>
      <c r="B43">
        <v>62</v>
      </c>
      <c r="C43">
        <v>73</v>
      </c>
      <c r="D43">
        <v>67</v>
      </c>
      <c r="E43">
        <v>102</v>
      </c>
      <c r="F43">
        <v>45</v>
      </c>
      <c r="G43">
        <v>43</v>
      </c>
      <c r="H43">
        <v>48</v>
      </c>
      <c r="I43">
        <v>41</v>
      </c>
      <c r="J43">
        <v>52</v>
      </c>
      <c r="K43">
        <v>57</v>
      </c>
      <c r="L43">
        <f t="shared" si="0"/>
        <v>-5</v>
      </c>
      <c r="M43">
        <f t="shared" si="1"/>
        <v>-8.0645161290322562</v>
      </c>
    </row>
    <row r="44" spans="1:13">
      <c r="A44" t="s">
        <v>43</v>
      </c>
      <c r="B44">
        <v>16</v>
      </c>
      <c r="C44">
        <v>14</v>
      </c>
      <c r="D44">
        <v>15</v>
      </c>
      <c r="E44">
        <v>17</v>
      </c>
      <c r="F44">
        <v>10</v>
      </c>
      <c r="G44">
        <v>18</v>
      </c>
      <c r="H44">
        <v>7</v>
      </c>
      <c r="I44">
        <v>7</v>
      </c>
      <c r="J44">
        <v>12</v>
      </c>
      <c r="K44">
        <v>13</v>
      </c>
      <c r="L44">
        <f t="shared" si="0"/>
        <v>-3</v>
      </c>
      <c r="M44">
        <f t="shared" si="1"/>
        <v>-18.75</v>
      </c>
    </row>
    <row r="45" spans="1:13">
      <c r="A45" t="s">
        <v>44</v>
      </c>
      <c r="B45">
        <v>10</v>
      </c>
      <c r="C45">
        <v>8</v>
      </c>
      <c r="D45">
        <v>5</v>
      </c>
      <c r="E45">
        <v>11</v>
      </c>
      <c r="F45">
        <v>7</v>
      </c>
      <c r="G45">
        <v>5</v>
      </c>
      <c r="H45">
        <v>4</v>
      </c>
      <c r="I45">
        <v>8</v>
      </c>
      <c r="J45">
        <v>8</v>
      </c>
      <c r="K45">
        <v>3</v>
      </c>
      <c r="L45">
        <f t="shared" si="0"/>
        <v>-7</v>
      </c>
      <c r="M45">
        <f t="shared" si="1"/>
        <v>-70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18E0-D79C-C743-8D79-4986A0F93822}">
  <dimension ref="A1:Q45"/>
  <sheetViews>
    <sheetView tabSelected="1" zoomScale="82" workbookViewId="0">
      <selection activeCell="P1" sqref="P1:Q1"/>
    </sheetView>
  </sheetViews>
  <sheetFormatPr baseColWidth="10" defaultRowHeight="20"/>
  <sheetData>
    <row r="1" spans="1:17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 t="s">
        <v>45</v>
      </c>
      <c r="Q1" t="s">
        <v>48</v>
      </c>
    </row>
    <row r="2" spans="1:17">
      <c r="A2" t="s">
        <v>1</v>
      </c>
      <c r="B2">
        <v>120</v>
      </c>
      <c r="C2">
        <v>190</v>
      </c>
      <c r="D2">
        <v>203</v>
      </c>
      <c r="E2">
        <v>178</v>
      </c>
      <c r="F2">
        <v>202</v>
      </c>
      <c r="G2">
        <v>151</v>
      </c>
      <c r="H2">
        <v>210</v>
      </c>
      <c r="I2">
        <v>165</v>
      </c>
      <c r="J2">
        <v>169</v>
      </c>
      <c r="K2">
        <v>169</v>
      </c>
      <c r="L2">
        <v>136</v>
      </c>
      <c r="M2">
        <v>170</v>
      </c>
      <c r="N2">
        <v>201</v>
      </c>
      <c r="O2">
        <v>165</v>
      </c>
      <c r="P2">
        <f>O2-B2</f>
        <v>45</v>
      </c>
      <c r="Q2">
        <f>O2/B2*100-100</f>
        <v>37.5</v>
      </c>
    </row>
    <row r="3" spans="1:17">
      <c r="A3" t="s">
        <v>2</v>
      </c>
      <c r="B3">
        <v>433</v>
      </c>
      <c r="C3">
        <v>485</v>
      </c>
      <c r="D3">
        <v>481</v>
      </c>
      <c r="E3">
        <v>424</v>
      </c>
      <c r="F3">
        <v>552</v>
      </c>
      <c r="G3">
        <v>489</v>
      </c>
      <c r="H3">
        <v>490</v>
      </c>
      <c r="I3">
        <v>414</v>
      </c>
      <c r="J3">
        <v>409</v>
      </c>
      <c r="K3">
        <v>460</v>
      </c>
      <c r="L3">
        <v>447</v>
      </c>
      <c r="M3">
        <v>475</v>
      </c>
      <c r="N3">
        <v>393</v>
      </c>
      <c r="O3">
        <v>390</v>
      </c>
      <c r="P3">
        <f t="shared" ref="P3:P45" si="0">O3-B3</f>
        <v>-43</v>
      </c>
      <c r="Q3">
        <f t="shared" ref="Q3:Q45" si="1">O3/B3*100-100</f>
        <v>-9.9307159353348737</v>
      </c>
    </row>
    <row r="4" spans="1:17">
      <c r="A4" t="s">
        <v>3</v>
      </c>
      <c r="B4">
        <v>202</v>
      </c>
      <c r="C4">
        <v>242</v>
      </c>
      <c r="D4">
        <v>214</v>
      </c>
      <c r="E4">
        <v>204</v>
      </c>
      <c r="F4">
        <v>233</v>
      </c>
      <c r="G4">
        <v>184</v>
      </c>
      <c r="H4">
        <v>213</v>
      </c>
      <c r="I4">
        <v>161</v>
      </c>
      <c r="J4">
        <v>182</v>
      </c>
      <c r="K4">
        <v>233</v>
      </c>
      <c r="L4">
        <v>195</v>
      </c>
      <c r="M4">
        <v>211</v>
      </c>
      <c r="N4">
        <v>224</v>
      </c>
      <c r="O4">
        <v>254</v>
      </c>
      <c r="P4">
        <f t="shared" si="0"/>
        <v>52</v>
      </c>
      <c r="Q4">
        <f t="shared" si="1"/>
        <v>25.742574257425744</v>
      </c>
    </row>
    <row r="5" spans="1:17">
      <c r="A5" t="s">
        <v>4</v>
      </c>
      <c r="B5">
        <v>715</v>
      </c>
      <c r="C5">
        <v>892</v>
      </c>
      <c r="D5">
        <v>754</v>
      </c>
      <c r="E5">
        <v>619</v>
      </c>
      <c r="F5">
        <v>763</v>
      </c>
      <c r="G5">
        <v>646</v>
      </c>
      <c r="H5">
        <v>687</v>
      </c>
      <c r="I5">
        <v>719</v>
      </c>
      <c r="J5">
        <v>788</v>
      </c>
      <c r="K5">
        <v>639</v>
      </c>
      <c r="L5">
        <v>680</v>
      </c>
      <c r="M5">
        <v>651</v>
      </c>
      <c r="N5">
        <v>681</v>
      </c>
      <c r="O5">
        <v>622</v>
      </c>
      <c r="P5">
        <f t="shared" si="0"/>
        <v>-93</v>
      </c>
      <c r="Q5">
        <f t="shared" si="1"/>
        <v>-13.006993006993</v>
      </c>
    </row>
    <row r="6" spans="1:17">
      <c r="A6" t="s">
        <v>5</v>
      </c>
      <c r="B6">
        <v>1355</v>
      </c>
      <c r="C6">
        <v>1498</v>
      </c>
      <c r="D6">
        <v>1278</v>
      </c>
      <c r="E6">
        <v>1320</v>
      </c>
      <c r="F6">
        <v>1397</v>
      </c>
      <c r="G6">
        <v>1316</v>
      </c>
      <c r="H6">
        <v>1309</v>
      </c>
      <c r="I6">
        <v>1380</v>
      </c>
      <c r="J6">
        <v>1311</v>
      </c>
      <c r="K6">
        <v>1360</v>
      </c>
      <c r="L6">
        <v>1355</v>
      </c>
      <c r="M6">
        <v>1265</v>
      </c>
      <c r="N6">
        <v>1181</v>
      </c>
      <c r="O6">
        <v>1256</v>
      </c>
      <c r="P6">
        <f t="shared" si="0"/>
        <v>-99</v>
      </c>
      <c r="Q6">
        <f t="shared" si="1"/>
        <v>-7.3062730627306252</v>
      </c>
    </row>
    <row r="7" spans="1:17">
      <c r="A7" t="s">
        <v>6</v>
      </c>
      <c r="B7">
        <v>556</v>
      </c>
      <c r="C7">
        <v>586</v>
      </c>
      <c r="D7">
        <v>511</v>
      </c>
      <c r="E7">
        <v>565</v>
      </c>
      <c r="F7">
        <v>491</v>
      </c>
      <c r="G7">
        <v>502</v>
      </c>
      <c r="H7">
        <v>526</v>
      </c>
      <c r="I7">
        <v>609</v>
      </c>
      <c r="J7">
        <v>603</v>
      </c>
      <c r="K7">
        <v>485</v>
      </c>
      <c r="L7">
        <v>543</v>
      </c>
      <c r="M7">
        <v>541</v>
      </c>
      <c r="N7">
        <v>482</v>
      </c>
      <c r="O7">
        <v>522</v>
      </c>
      <c r="P7">
        <f t="shared" si="0"/>
        <v>-34</v>
      </c>
      <c r="Q7">
        <f t="shared" si="1"/>
        <v>-6.115107913669064</v>
      </c>
    </row>
    <row r="8" spans="1:17">
      <c r="A8" t="s">
        <v>7</v>
      </c>
      <c r="B8">
        <v>997</v>
      </c>
      <c r="C8">
        <v>1165</v>
      </c>
      <c r="D8">
        <v>977</v>
      </c>
      <c r="E8">
        <v>893</v>
      </c>
      <c r="F8">
        <v>955</v>
      </c>
      <c r="G8">
        <v>906</v>
      </c>
      <c r="H8">
        <v>1017</v>
      </c>
      <c r="I8">
        <v>954</v>
      </c>
      <c r="J8">
        <v>968</v>
      </c>
      <c r="K8">
        <v>1042</v>
      </c>
      <c r="L8">
        <v>874</v>
      </c>
      <c r="M8">
        <v>808</v>
      </c>
      <c r="N8">
        <v>880</v>
      </c>
      <c r="O8">
        <v>863</v>
      </c>
      <c r="P8">
        <f t="shared" si="0"/>
        <v>-134</v>
      </c>
      <c r="Q8">
        <f t="shared" si="1"/>
        <v>-13.440320962888663</v>
      </c>
    </row>
    <row r="9" spans="1:17">
      <c r="A9" t="s">
        <v>8</v>
      </c>
      <c r="B9">
        <v>1178</v>
      </c>
      <c r="C9">
        <v>1528</v>
      </c>
      <c r="D9">
        <v>1151</v>
      </c>
      <c r="E9">
        <v>1101</v>
      </c>
      <c r="F9">
        <v>1176</v>
      </c>
      <c r="G9">
        <v>1096</v>
      </c>
      <c r="H9">
        <v>1059</v>
      </c>
      <c r="I9">
        <v>1022</v>
      </c>
      <c r="J9">
        <v>1037</v>
      </c>
      <c r="K9">
        <v>1167</v>
      </c>
      <c r="L9">
        <v>1229</v>
      </c>
      <c r="M9">
        <v>1004</v>
      </c>
      <c r="N9">
        <v>1066</v>
      </c>
      <c r="O9">
        <v>1020</v>
      </c>
      <c r="P9">
        <f t="shared" si="0"/>
        <v>-158</v>
      </c>
      <c r="Q9">
        <f t="shared" si="1"/>
        <v>-13.412563667232604</v>
      </c>
    </row>
    <row r="10" spans="1:17">
      <c r="A10" t="s">
        <v>9</v>
      </c>
      <c r="B10">
        <v>790</v>
      </c>
      <c r="C10">
        <v>946</v>
      </c>
      <c r="D10">
        <v>833</v>
      </c>
      <c r="E10">
        <v>736</v>
      </c>
      <c r="F10">
        <v>827</v>
      </c>
      <c r="G10">
        <v>720</v>
      </c>
      <c r="H10">
        <v>759</v>
      </c>
      <c r="I10">
        <v>740</v>
      </c>
      <c r="J10">
        <v>616</v>
      </c>
      <c r="K10">
        <v>650</v>
      </c>
      <c r="L10">
        <v>611</v>
      </c>
      <c r="M10">
        <v>724</v>
      </c>
      <c r="N10">
        <v>667</v>
      </c>
      <c r="O10">
        <v>575</v>
      </c>
      <c r="P10">
        <f t="shared" si="0"/>
        <v>-215</v>
      </c>
      <c r="Q10">
        <f t="shared" si="1"/>
        <v>-27.215189873417728</v>
      </c>
    </row>
    <row r="11" spans="1:17">
      <c r="A11" t="s">
        <v>10</v>
      </c>
      <c r="B11">
        <v>1196</v>
      </c>
      <c r="C11">
        <v>1614</v>
      </c>
      <c r="D11">
        <v>1330</v>
      </c>
      <c r="E11">
        <v>1161</v>
      </c>
      <c r="F11">
        <v>1127</v>
      </c>
      <c r="G11">
        <v>1132</v>
      </c>
      <c r="H11">
        <v>1114</v>
      </c>
      <c r="I11">
        <v>1007</v>
      </c>
      <c r="J11">
        <v>1059</v>
      </c>
      <c r="K11">
        <v>1013</v>
      </c>
      <c r="L11">
        <v>1123</v>
      </c>
      <c r="M11">
        <v>946</v>
      </c>
      <c r="N11">
        <v>1115</v>
      </c>
      <c r="O11">
        <v>1041</v>
      </c>
      <c r="P11">
        <f t="shared" si="0"/>
        <v>-155</v>
      </c>
      <c r="Q11">
        <f t="shared" si="1"/>
        <v>-12.959866220735776</v>
      </c>
    </row>
    <row r="12" spans="1:17">
      <c r="A12" t="s">
        <v>11</v>
      </c>
      <c r="B12">
        <v>636</v>
      </c>
      <c r="C12">
        <v>710</v>
      </c>
      <c r="D12">
        <v>571</v>
      </c>
      <c r="E12">
        <v>609</v>
      </c>
      <c r="F12">
        <v>689</v>
      </c>
      <c r="G12">
        <v>567</v>
      </c>
      <c r="H12">
        <v>619</v>
      </c>
      <c r="I12">
        <v>620</v>
      </c>
      <c r="J12">
        <v>600</v>
      </c>
      <c r="K12">
        <v>596</v>
      </c>
      <c r="L12">
        <v>618</v>
      </c>
      <c r="M12">
        <v>590</v>
      </c>
      <c r="N12">
        <v>565</v>
      </c>
      <c r="O12">
        <v>605</v>
      </c>
      <c r="P12">
        <f t="shared" si="0"/>
        <v>-31</v>
      </c>
      <c r="Q12">
        <f t="shared" si="1"/>
        <v>-4.8742138364779919</v>
      </c>
    </row>
    <row r="13" spans="1:17">
      <c r="A13" t="s">
        <v>12</v>
      </c>
      <c r="B13">
        <v>405</v>
      </c>
      <c r="C13">
        <v>531</v>
      </c>
      <c r="D13">
        <v>483</v>
      </c>
      <c r="E13">
        <v>491</v>
      </c>
      <c r="F13">
        <v>414</v>
      </c>
      <c r="G13">
        <v>421</v>
      </c>
      <c r="H13">
        <v>445</v>
      </c>
      <c r="I13">
        <v>397</v>
      </c>
      <c r="J13">
        <v>434</v>
      </c>
      <c r="K13">
        <v>368</v>
      </c>
      <c r="L13">
        <v>416</v>
      </c>
      <c r="M13">
        <v>424</v>
      </c>
      <c r="N13">
        <v>372</v>
      </c>
      <c r="O13">
        <v>342</v>
      </c>
      <c r="P13">
        <f t="shared" si="0"/>
        <v>-63</v>
      </c>
      <c r="Q13">
        <f t="shared" si="1"/>
        <v>-15.555555555555557</v>
      </c>
    </row>
    <row r="14" spans="1:17">
      <c r="A14" t="s">
        <v>13</v>
      </c>
      <c r="B14">
        <v>316</v>
      </c>
      <c r="C14">
        <v>403</v>
      </c>
      <c r="D14">
        <v>337</v>
      </c>
      <c r="E14">
        <v>244</v>
      </c>
      <c r="F14">
        <v>260</v>
      </c>
      <c r="G14">
        <v>239</v>
      </c>
      <c r="H14">
        <v>241</v>
      </c>
      <c r="I14">
        <v>253</v>
      </c>
      <c r="J14">
        <v>248</v>
      </c>
      <c r="K14">
        <v>196</v>
      </c>
      <c r="L14">
        <v>186</v>
      </c>
      <c r="M14">
        <v>224</v>
      </c>
      <c r="N14">
        <v>179</v>
      </c>
      <c r="O14">
        <v>239</v>
      </c>
      <c r="P14">
        <f t="shared" si="0"/>
        <v>-77</v>
      </c>
      <c r="Q14">
        <f t="shared" si="1"/>
        <v>-24.367088607594937</v>
      </c>
    </row>
    <row r="15" spans="1:17">
      <c r="A15" t="s">
        <v>14</v>
      </c>
      <c r="B15">
        <v>275</v>
      </c>
      <c r="C15">
        <v>346</v>
      </c>
      <c r="D15">
        <v>305</v>
      </c>
      <c r="E15">
        <v>243</v>
      </c>
      <c r="F15">
        <v>238</v>
      </c>
      <c r="G15">
        <v>245</v>
      </c>
      <c r="H15">
        <v>218</v>
      </c>
      <c r="I15">
        <v>250</v>
      </c>
      <c r="J15">
        <v>244</v>
      </c>
      <c r="K15">
        <v>228</v>
      </c>
      <c r="L15">
        <v>206</v>
      </c>
      <c r="M15">
        <v>195</v>
      </c>
      <c r="N15">
        <v>205</v>
      </c>
      <c r="O15">
        <v>172</v>
      </c>
      <c r="P15">
        <f t="shared" si="0"/>
        <v>-103</v>
      </c>
      <c r="Q15">
        <f t="shared" si="1"/>
        <v>-37.454545454545453</v>
      </c>
    </row>
    <row r="16" spans="1:17">
      <c r="A16" t="s">
        <v>15</v>
      </c>
      <c r="B16">
        <v>124</v>
      </c>
      <c r="C16">
        <v>165</v>
      </c>
      <c r="D16">
        <v>180</v>
      </c>
      <c r="E16">
        <v>137</v>
      </c>
      <c r="F16">
        <v>154</v>
      </c>
      <c r="G16">
        <v>119</v>
      </c>
      <c r="H16">
        <v>136</v>
      </c>
      <c r="I16">
        <v>109</v>
      </c>
      <c r="J16">
        <v>112</v>
      </c>
      <c r="K16">
        <v>109</v>
      </c>
      <c r="L16">
        <v>121</v>
      </c>
      <c r="M16">
        <v>105</v>
      </c>
      <c r="N16">
        <v>107</v>
      </c>
      <c r="O16">
        <v>108</v>
      </c>
      <c r="P16">
        <f t="shared" si="0"/>
        <v>-16</v>
      </c>
      <c r="Q16">
        <f t="shared" si="1"/>
        <v>-12.903225806451616</v>
      </c>
    </row>
    <row r="17" spans="1:17">
      <c r="A17" t="s">
        <v>16</v>
      </c>
      <c r="B17">
        <v>107</v>
      </c>
      <c r="C17">
        <v>109</v>
      </c>
      <c r="D17">
        <v>112</v>
      </c>
      <c r="E17">
        <v>103</v>
      </c>
      <c r="F17">
        <v>86</v>
      </c>
      <c r="G17">
        <v>84</v>
      </c>
      <c r="H17">
        <v>92</v>
      </c>
      <c r="I17">
        <v>96</v>
      </c>
      <c r="J17">
        <v>92</v>
      </c>
      <c r="K17">
        <v>93</v>
      </c>
      <c r="L17">
        <v>102</v>
      </c>
      <c r="M17">
        <v>76</v>
      </c>
      <c r="N17">
        <v>68</v>
      </c>
      <c r="O17">
        <v>74</v>
      </c>
      <c r="P17">
        <f t="shared" si="0"/>
        <v>-33</v>
      </c>
      <c r="Q17">
        <f t="shared" si="1"/>
        <v>-30.841121495327101</v>
      </c>
    </row>
    <row r="18" spans="1:17">
      <c r="A18" t="s">
        <v>17</v>
      </c>
      <c r="B18">
        <v>471</v>
      </c>
      <c r="C18">
        <v>596</v>
      </c>
      <c r="D18">
        <v>495</v>
      </c>
      <c r="E18">
        <v>530</v>
      </c>
      <c r="F18">
        <v>524</v>
      </c>
      <c r="G18">
        <v>482</v>
      </c>
      <c r="H18">
        <v>497</v>
      </c>
      <c r="I18">
        <v>486</v>
      </c>
      <c r="J18">
        <v>492</v>
      </c>
      <c r="K18">
        <v>370</v>
      </c>
      <c r="L18">
        <v>490</v>
      </c>
      <c r="M18">
        <v>424</v>
      </c>
      <c r="N18">
        <v>436</v>
      </c>
      <c r="O18">
        <v>454</v>
      </c>
      <c r="P18">
        <f t="shared" si="0"/>
        <v>-17</v>
      </c>
      <c r="Q18">
        <f t="shared" si="1"/>
        <v>-3.6093418259023338</v>
      </c>
    </row>
    <row r="19" spans="1:17">
      <c r="A19" t="s">
        <v>18</v>
      </c>
      <c r="B19">
        <v>314</v>
      </c>
      <c r="C19">
        <v>332</v>
      </c>
      <c r="D19">
        <v>291</v>
      </c>
      <c r="E19">
        <v>343</v>
      </c>
      <c r="F19">
        <v>311</v>
      </c>
      <c r="G19">
        <v>265</v>
      </c>
      <c r="H19">
        <v>264</v>
      </c>
      <c r="I19">
        <v>305</v>
      </c>
      <c r="J19">
        <v>223</v>
      </c>
      <c r="K19">
        <v>232</v>
      </c>
      <c r="L19">
        <v>232</v>
      </c>
      <c r="M19">
        <v>297</v>
      </c>
      <c r="N19">
        <v>212</v>
      </c>
      <c r="O19">
        <v>236</v>
      </c>
      <c r="P19">
        <f t="shared" si="0"/>
        <v>-78</v>
      </c>
      <c r="Q19">
        <f t="shared" si="1"/>
        <v>-24.840764331210181</v>
      </c>
    </row>
    <row r="20" spans="1:17">
      <c r="A20" t="s">
        <v>19</v>
      </c>
      <c r="B20">
        <v>181</v>
      </c>
      <c r="C20">
        <v>271</v>
      </c>
      <c r="D20">
        <v>179</v>
      </c>
      <c r="E20">
        <v>250</v>
      </c>
      <c r="F20">
        <v>205</v>
      </c>
      <c r="G20">
        <v>174</v>
      </c>
      <c r="H20">
        <v>166</v>
      </c>
      <c r="I20">
        <v>221</v>
      </c>
      <c r="J20">
        <v>232</v>
      </c>
      <c r="K20">
        <v>182</v>
      </c>
      <c r="L20">
        <v>200</v>
      </c>
      <c r="M20">
        <v>198</v>
      </c>
      <c r="N20">
        <v>187</v>
      </c>
      <c r="O20">
        <v>166</v>
      </c>
      <c r="P20">
        <f t="shared" si="0"/>
        <v>-15</v>
      </c>
      <c r="Q20">
        <f t="shared" si="1"/>
        <v>-8.2872928176795568</v>
      </c>
    </row>
    <row r="21" spans="1:17">
      <c r="A21" t="s">
        <v>20</v>
      </c>
      <c r="B21">
        <v>197</v>
      </c>
      <c r="C21">
        <v>238</v>
      </c>
      <c r="D21">
        <v>169</v>
      </c>
      <c r="E21">
        <v>182</v>
      </c>
      <c r="F21">
        <v>169</v>
      </c>
      <c r="G21">
        <v>210</v>
      </c>
      <c r="H21">
        <v>216</v>
      </c>
      <c r="I21">
        <v>208</v>
      </c>
      <c r="J21">
        <v>218</v>
      </c>
      <c r="K21">
        <v>179</v>
      </c>
      <c r="L21">
        <v>197</v>
      </c>
      <c r="M21">
        <v>228</v>
      </c>
      <c r="N21">
        <v>200</v>
      </c>
      <c r="O21">
        <v>217</v>
      </c>
      <c r="P21">
        <f t="shared" si="0"/>
        <v>20</v>
      </c>
      <c r="Q21">
        <f t="shared" si="1"/>
        <v>10.152284263959402</v>
      </c>
    </row>
    <row r="22" spans="1:17">
      <c r="A22" t="s">
        <v>21</v>
      </c>
      <c r="B22">
        <v>635</v>
      </c>
      <c r="C22">
        <v>703</v>
      </c>
      <c r="D22">
        <v>643</v>
      </c>
      <c r="E22">
        <v>648</v>
      </c>
      <c r="F22">
        <v>618</v>
      </c>
      <c r="G22">
        <v>585</v>
      </c>
      <c r="H22">
        <v>650</v>
      </c>
      <c r="I22">
        <v>577</v>
      </c>
      <c r="J22">
        <v>680</v>
      </c>
      <c r="K22">
        <v>650</v>
      </c>
      <c r="L22">
        <v>653</v>
      </c>
      <c r="M22">
        <v>577</v>
      </c>
      <c r="N22">
        <v>660</v>
      </c>
      <c r="O22">
        <v>585</v>
      </c>
      <c r="P22">
        <f t="shared" si="0"/>
        <v>-50</v>
      </c>
      <c r="Q22">
        <f t="shared" si="1"/>
        <v>-7.8740157480314963</v>
      </c>
    </row>
    <row r="23" spans="1:17">
      <c r="A23" t="s">
        <v>22</v>
      </c>
      <c r="B23">
        <v>8</v>
      </c>
      <c r="C23">
        <v>8</v>
      </c>
      <c r="D23">
        <v>6</v>
      </c>
      <c r="E23">
        <v>7</v>
      </c>
      <c r="F23">
        <v>9</v>
      </c>
      <c r="G23">
        <v>4</v>
      </c>
      <c r="H23">
        <v>15</v>
      </c>
      <c r="I23">
        <v>11</v>
      </c>
      <c r="J23">
        <v>5</v>
      </c>
      <c r="K23">
        <v>12</v>
      </c>
      <c r="L23">
        <v>9</v>
      </c>
      <c r="M23">
        <v>13</v>
      </c>
      <c r="N23">
        <v>11</v>
      </c>
      <c r="O23">
        <v>11</v>
      </c>
      <c r="P23">
        <f t="shared" si="0"/>
        <v>3</v>
      </c>
      <c r="Q23">
        <f t="shared" si="1"/>
        <v>37.5</v>
      </c>
    </row>
    <row r="24" spans="1:17">
      <c r="A24" t="s">
        <v>23</v>
      </c>
      <c r="B24">
        <v>2</v>
      </c>
      <c r="C24">
        <v>7</v>
      </c>
      <c r="D24">
        <v>1</v>
      </c>
      <c r="E24">
        <v>7</v>
      </c>
      <c r="F24">
        <v>11</v>
      </c>
      <c r="G24">
        <v>8</v>
      </c>
      <c r="H24">
        <v>6</v>
      </c>
      <c r="I24">
        <v>2</v>
      </c>
      <c r="J24">
        <v>3</v>
      </c>
      <c r="K24">
        <v>1</v>
      </c>
      <c r="L24">
        <v>5</v>
      </c>
      <c r="M24">
        <v>2</v>
      </c>
      <c r="N24">
        <v>5</v>
      </c>
      <c r="O24">
        <v>2</v>
      </c>
      <c r="P24">
        <f t="shared" si="0"/>
        <v>0</v>
      </c>
      <c r="Q24">
        <f t="shared" si="1"/>
        <v>0</v>
      </c>
    </row>
    <row r="25" spans="1:17">
      <c r="A25" t="s">
        <v>24</v>
      </c>
      <c r="B25">
        <v>930</v>
      </c>
      <c r="C25">
        <v>1118</v>
      </c>
      <c r="D25">
        <v>1051</v>
      </c>
      <c r="E25">
        <v>971</v>
      </c>
      <c r="F25">
        <v>906</v>
      </c>
      <c r="G25">
        <v>905</v>
      </c>
      <c r="H25">
        <v>922</v>
      </c>
      <c r="I25">
        <v>871</v>
      </c>
      <c r="J25">
        <v>977</v>
      </c>
      <c r="K25">
        <v>883</v>
      </c>
      <c r="L25">
        <v>803</v>
      </c>
      <c r="M25">
        <v>851</v>
      </c>
      <c r="N25">
        <v>834</v>
      </c>
      <c r="O25">
        <v>816</v>
      </c>
      <c r="P25">
        <f t="shared" si="0"/>
        <v>-114</v>
      </c>
      <c r="Q25">
        <f t="shared" si="1"/>
        <v>-12.258064516129025</v>
      </c>
    </row>
    <row r="26" spans="1:17">
      <c r="A26" t="s">
        <v>25</v>
      </c>
      <c r="B26">
        <v>120</v>
      </c>
      <c r="C26">
        <v>219</v>
      </c>
      <c r="D26">
        <v>152</v>
      </c>
      <c r="E26">
        <v>189</v>
      </c>
      <c r="F26">
        <v>130</v>
      </c>
      <c r="G26">
        <v>125</v>
      </c>
      <c r="H26">
        <v>138</v>
      </c>
      <c r="I26">
        <v>106</v>
      </c>
      <c r="J26">
        <v>141</v>
      </c>
      <c r="K26">
        <v>137</v>
      </c>
      <c r="L26">
        <v>152</v>
      </c>
      <c r="M26">
        <v>182</v>
      </c>
      <c r="N26">
        <v>164</v>
      </c>
      <c r="O26">
        <v>111</v>
      </c>
      <c r="P26">
        <f t="shared" si="0"/>
        <v>-9</v>
      </c>
      <c r="Q26">
        <f t="shared" si="1"/>
        <v>-7.5</v>
      </c>
    </row>
    <row r="27" spans="1:17">
      <c r="A27" t="s">
        <v>26</v>
      </c>
      <c r="B27">
        <v>2</v>
      </c>
      <c r="C27">
        <v>7</v>
      </c>
      <c r="D27">
        <v>0</v>
      </c>
      <c r="E27">
        <v>1</v>
      </c>
      <c r="F27">
        <v>5</v>
      </c>
      <c r="G27">
        <v>6</v>
      </c>
      <c r="H27">
        <v>7</v>
      </c>
      <c r="I27">
        <v>0</v>
      </c>
      <c r="J27">
        <v>1</v>
      </c>
      <c r="K27">
        <v>4</v>
      </c>
      <c r="L27">
        <v>1</v>
      </c>
      <c r="M27">
        <v>1</v>
      </c>
      <c r="N27">
        <v>2</v>
      </c>
      <c r="O27">
        <v>1</v>
      </c>
      <c r="P27">
        <f t="shared" si="0"/>
        <v>-1</v>
      </c>
      <c r="Q27">
        <f t="shared" si="1"/>
        <v>-50</v>
      </c>
    </row>
    <row r="28" spans="1:17">
      <c r="A28" t="s">
        <v>27</v>
      </c>
      <c r="B28">
        <v>158</v>
      </c>
      <c r="C28">
        <v>157</v>
      </c>
      <c r="D28">
        <v>137</v>
      </c>
      <c r="E28">
        <v>132</v>
      </c>
      <c r="F28">
        <v>114</v>
      </c>
      <c r="G28">
        <v>109</v>
      </c>
      <c r="H28">
        <v>100</v>
      </c>
      <c r="I28">
        <v>123</v>
      </c>
      <c r="J28">
        <v>118</v>
      </c>
      <c r="K28">
        <v>87</v>
      </c>
      <c r="L28">
        <v>79</v>
      </c>
      <c r="M28">
        <v>96</v>
      </c>
      <c r="N28">
        <v>72</v>
      </c>
      <c r="O28">
        <v>68</v>
      </c>
      <c r="P28">
        <f t="shared" si="0"/>
        <v>-90</v>
      </c>
      <c r="Q28">
        <f t="shared" si="1"/>
        <v>-56.962025316455694</v>
      </c>
    </row>
    <row r="29" spans="1:17">
      <c r="A29" t="s">
        <v>28</v>
      </c>
      <c r="B29">
        <v>4</v>
      </c>
      <c r="C29">
        <v>9</v>
      </c>
      <c r="D29">
        <v>7</v>
      </c>
      <c r="E29">
        <v>5</v>
      </c>
      <c r="F29">
        <v>6</v>
      </c>
      <c r="G29">
        <v>8</v>
      </c>
      <c r="H29">
        <v>8</v>
      </c>
      <c r="I29">
        <v>3</v>
      </c>
      <c r="J29">
        <v>3</v>
      </c>
      <c r="K29">
        <v>2</v>
      </c>
      <c r="L29">
        <v>4</v>
      </c>
      <c r="M29">
        <v>3</v>
      </c>
      <c r="N29">
        <v>6</v>
      </c>
      <c r="O29">
        <v>3</v>
      </c>
      <c r="P29">
        <f t="shared" si="0"/>
        <v>-1</v>
      </c>
      <c r="Q29">
        <f t="shared" si="1"/>
        <v>-25</v>
      </c>
    </row>
    <row r="30" spans="1:17">
      <c r="A30" t="s">
        <v>29</v>
      </c>
      <c r="B30">
        <v>498</v>
      </c>
      <c r="C30">
        <v>541</v>
      </c>
      <c r="D30">
        <v>557</v>
      </c>
      <c r="E30">
        <v>651</v>
      </c>
      <c r="F30">
        <v>564</v>
      </c>
      <c r="G30">
        <v>549</v>
      </c>
      <c r="H30">
        <v>503</v>
      </c>
      <c r="I30">
        <v>833</v>
      </c>
      <c r="J30">
        <v>806</v>
      </c>
      <c r="K30">
        <v>834</v>
      </c>
      <c r="L30">
        <v>768</v>
      </c>
      <c r="M30">
        <v>830</v>
      </c>
      <c r="N30">
        <v>763</v>
      </c>
      <c r="O30">
        <v>650</v>
      </c>
      <c r="P30">
        <f t="shared" si="0"/>
        <v>152</v>
      </c>
      <c r="Q30">
        <f t="shared" si="1"/>
        <v>30.522088353413665</v>
      </c>
    </row>
    <row r="31" spans="1:17">
      <c r="A31" t="s">
        <v>30</v>
      </c>
      <c r="B31">
        <v>213</v>
      </c>
      <c r="C31">
        <v>238</v>
      </c>
      <c r="D31">
        <v>214</v>
      </c>
      <c r="E31">
        <v>199</v>
      </c>
      <c r="F31">
        <v>216</v>
      </c>
      <c r="G31">
        <v>188</v>
      </c>
      <c r="H31">
        <v>192</v>
      </c>
      <c r="I31">
        <v>176</v>
      </c>
      <c r="J31">
        <v>217</v>
      </c>
      <c r="K31">
        <v>189</v>
      </c>
      <c r="L31">
        <v>219</v>
      </c>
      <c r="M31">
        <v>191</v>
      </c>
      <c r="N31">
        <v>180</v>
      </c>
      <c r="O31">
        <v>166</v>
      </c>
      <c r="P31">
        <f t="shared" si="0"/>
        <v>-47</v>
      </c>
      <c r="Q31">
        <f t="shared" si="1"/>
        <v>-22.065727699530512</v>
      </c>
    </row>
    <row r="32" spans="1:17">
      <c r="A32" t="s">
        <v>31</v>
      </c>
      <c r="B32">
        <v>1984</v>
      </c>
      <c r="C32">
        <v>2031</v>
      </c>
      <c r="D32">
        <v>1945</v>
      </c>
      <c r="E32">
        <v>1804</v>
      </c>
      <c r="F32">
        <v>2038</v>
      </c>
      <c r="G32">
        <v>1907</v>
      </c>
      <c r="H32">
        <v>1735</v>
      </c>
      <c r="I32">
        <v>1833</v>
      </c>
      <c r="J32">
        <v>1837</v>
      </c>
      <c r="K32">
        <v>1788</v>
      </c>
      <c r="L32">
        <v>1708</v>
      </c>
      <c r="M32">
        <v>1835</v>
      </c>
      <c r="N32">
        <v>1707</v>
      </c>
      <c r="O32">
        <v>1572</v>
      </c>
      <c r="P32">
        <f t="shared" si="0"/>
        <v>-412</v>
      </c>
      <c r="Q32">
        <f t="shared" si="1"/>
        <v>-20.766129032258064</v>
      </c>
    </row>
    <row r="33" spans="1:17">
      <c r="A33" t="s">
        <v>32</v>
      </c>
      <c r="B33">
        <v>158</v>
      </c>
      <c r="C33">
        <v>201</v>
      </c>
      <c r="D33">
        <v>260</v>
      </c>
      <c r="E33">
        <v>168</v>
      </c>
      <c r="F33">
        <v>143</v>
      </c>
      <c r="G33">
        <v>123</v>
      </c>
      <c r="H33">
        <v>138</v>
      </c>
      <c r="I33">
        <v>186</v>
      </c>
      <c r="J33">
        <v>155</v>
      </c>
      <c r="K33">
        <v>170</v>
      </c>
      <c r="L33">
        <v>152</v>
      </c>
      <c r="M33">
        <v>141</v>
      </c>
      <c r="N33">
        <v>156</v>
      </c>
      <c r="O33">
        <v>174</v>
      </c>
      <c r="P33">
        <f t="shared" si="0"/>
        <v>16</v>
      </c>
      <c r="Q33">
        <f t="shared" si="1"/>
        <v>10.126582278481024</v>
      </c>
    </row>
    <row r="34" spans="1:17">
      <c r="A34" t="s">
        <v>33</v>
      </c>
      <c r="B34">
        <v>29</v>
      </c>
      <c r="C34">
        <v>6</v>
      </c>
      <c r="D34">
        <v>17</v>
      </c>
      <c r="E34">
        <v>18</v>
      </c>
      <c r="F34">
        <v>22</v>
      </c>
      <c r="G34">
        <v>18</v>
      </c>
      <c r="H34">
        <v>18</v>
      </c>
      <c r="I34">
        <v>27</v>
      </c>
      <c r="J34">
        <v>28</v>
      </c>
      <c r="K34">
        <v>18</v>
      </c>
      <c r="L34">
        <v>25</v>
      </c>
      <c r="M34">
        <v>16</v>
      </c>
      <c r="N34">
        <v>24</v>
      </c>
      <c r="O34">
        <v>18</v>
      </c>
      <c r="P34">
        <f t="shared" si="0"/>
        <v>-11</v>
      </c>
      <c r="Q34">
        <f t="shared" si="1"/>
        <v>-37.931034482758619</v>
      </c>
    </row>
    <row r="35" spans="1:17">
      <c r="A35" t="s">
        <v>34</v>
      </c>
      <c r="B35">
        <v>10</v>
      </c>
      <c r="C35">
        <v>23</v>
      </c>
      <c r="D35">
        <v>9</v>
      </c>
      <c r="E35">
        <v>16</v>
      </c>
      <c r="F35">
        <v>27</v>
      </c>
      <c r="G35">
        <v>9</v>
      </c>
      <c r="H35">
        <v>14</v>
      </c>
      <c r="I35">
        <v>10</v>
      </c>
      <c r="J35">
        <v>5</v>
      </c>
      <c r="K35">
        <v>13</v>
      </c>
      <c r="L35">
        <v>18</v>
      </c>
      <c r="M35">
        <v>3</v>
      </c>
      <c r="N35">
        <v>18</v>
      </c>
      <c r="O35">
        <v>16</v>
      </c>
      <c r="P35">
        <f t="shared" si="0"/>
        <v>6</v>
      </c>
      <c r="Q35">
        <f t="shared" si="1"/>
        <v>60</v>
      </c>
    </row>
    <row r="36" spans="1:17">
      <c r="A36" t="s">
        <v>35</v>
      </c>
      <c r="B36">
        <v>13</v>
      </c>
      <c r="C36">
        <v>5</v>
      </c>
      <c r="D36">
        <v>7</v>
      </c>
      <c r="E36">
        <v>4</v>
      </c>
      <c r="F36">
        <v>6</v>
      </c>
      <c r="G36">
        <v>6</v>
      </c>
      <c r="H36">
        <v>11</v>
      </c>
      <c r="I36">
        <v>11</v>
      </c>
      <c r="J36">
        <v>9</v>
      </c>
      <c r="K36">
        <v>12</v>
      </c>
      <c r="L36">
        <v>10</v>
      </c>
      <c r="M36">
        <v>10</v>
      </c>
      <c r="N36">
        <v>15</v>
      </c>
      <c r="O36">
        <v>9</v>
      </c>
      <c r="P36">
        <f t="shared" si="0"/>
        <v>-4</v>
      </c>
      <c r="Q36">
        <f t="shared" si="1"/>
        <v>-30.769230769230774</v>
      </c>
    </row>
    <row r="37" spans="1:17">
      <c r="A37" t="s">
        <v>36</v>
      </c>
      <c r="B37">
        <v>32</v>
      </c>
      <c r="C37">
        <v>47</v>
      </c>
      <c r="D37">
        <v>53</v>
      </c>
      <c r="E37">
        <v>39</v>
      </c>
      <c r="F37">
        <v>46</v>
      </c>
      <c r="G37">
        <v>51</v>
      </c>
      <c r="H37">
        <v>40</v>
      </c>
      <c r="I37">
        <v>31</v>
      </c>
      <c r="J37">
        <v>38</v>
      </c>
      <c r="K37">
        <v>33</v>
      </c>
      <c r="L37">
        <v>25</v>
      </c>
      <c r="M37">
        <v>47</v>
      </c>
      <c r="N37">
        <v>38</v>
      </c>
      <c r="O37">
        <v>25</v>
      </c>
      <c r="P37">
        <f t="shared" si="0"/>
        <v>-7</v>
      </c>
      <c r="Q37">
        <f t="shared" si="1"/>
        <v>-21.875</v>
      </c>
    </row>
    <row r="38" spans="1:17">
      <c r="A38" t="s">
        <v>37</v>
      </c>
      <c r="B38">
        <v>19</v>
      </c>
      <c r="C38">
        <v>27</v>
      </c>
      <c r="D38">
        <v>34</v>
      </c>
      <c r="E38">
        <v>42</v>
      </c>
      <c r="F38">
        <v>32</v>
      </c>
      <c r="G38">
        <v>31</v>
      </c>
      <c r="H38">
        <v>36</v>
      </c>
      <c r="I38">
        <v>23</v>
      </c>
      <c r="J38">
        <v>26</v>
      </c>
      <c r="K38">
        <v>17</v>
      </c>
      <c r="L38">
        <v>34</v>
      </c>
      <c r="M38">
        <v>21</v>
      </c>
      <c r="N38">
        <v>36</v>
      </c>
      <c r="O38">
        <v>38</v>
      </c>
      <c r="P38">
        <f t="shared" si="0"/>
        <v>19</v>
      </c>
      <c r="Q38">
        <f t="shared" si="1"/>
        <v>100</v>
      </c>
    </row>
    <row r="39" spans="1:17">
      <c r="A39" t="s">
        <v>38</v>
      </c>
      <c r="B39">
        <v>153</v>
      </c>
      <c r="C39">
        <v>233</v>
      </c>
      <c r="D39">
        <v>180</v>
      </c>
      <c r="E39">
        <v>153</v>
      </c>
      <c r="F39">
        <v>192</v>
      </c>
      <c r="G39">
        <v>158</v>
      </c>
      <c r="H39">
        <v>141</v>
      </c>
      <c r="I39">
        <v>147</v>
      </c>
      <c r="J39">
        <v>170</v>
      </c>
      <c r="K39">
        <v>142</v>
      </c>
      <c r="L39">
        <v>167</v>
      </c>
      <c r="M39">
        <v>163</v>
      </c>
      <c r="N39">
        <v>183</v>
      </c>
      <c r="O39">
        <v>165</v>
      </c>
      <c r="P39">
        <f t="shared" si="0"/>
        <v>12</v>
      </c>
      <c r="Q39">
        <f t="shared" si="1"/>
        <v>7.8431372549019613</v>
      </c>
    </row>
    <row r="40" spans="1:17">
      <c r="A40" t="s">
        <v>39</v>
      </c>
      <c r="B40">
        <v>72</v>
      </c>
      <c r="C40">
        <v>75</v>
      </c>
      <c r="D40">
        <v>58</v>
      </c>
      <c r="E40">
        <v>61</v>
      </c>
      <c r="F40">
        <v>58</v>
      </c>
      <c r="G40">
        <v>69</v>
      </c>
      <c r="H40">
        <v>83</v>
      </c>
      <c r="I40">
        <v>59</v>
      </c>
      <c r="J40">
        <v>50</v>
      </c>
      <c r="K40">
        <v>44</v>
      </c>
      <c r="L40">
        <v>64</v>
      </c>
      <c r="M40">
        <v>55</v>
      </c>
      <c r="N40">
        <v>66</v>
      </c>
      <c r="O40">
        <v>46</v>
      </c>
      <c r="P40">
        <f t="shared" si="0"/>
        <v>-26</v>
      </c>
      <c r="Q40">
        <f t="shared" si="1"/>
        <v>-36.111111111111114</v>
      </c>
    </row>
    <row r="41" spans="1:17">
      <c r="A41" t="s">
        <v>40</v>
      </c>
      <c r="B41">
        <v>100</v>
      </c>
      <c r="C41">
        <v>90</v>
      </c>
      <c r="D41">
        <v>107</v>
      </c>
      <c r="E41">
        <v>82</v>
      </c>
      <c r="F41">
        <v>83</v>
      </c>
      <c r="G41">
        <v>68</v>
      </c>
      <c r="H41">
        <v>84</v>
      </c>
      <c r="I41">
        <v>51</v>
      </c>
      <c r="J41">
        <v>81</v>
      </c>
      <c r="K41">
        <v>66</v>
      </c>
      <c r="L41">
        <v>93</v>
      </c>
      <c r="M41">
        <v>79</v>
      </c>
      <c r="N41">
        <v>65</v>
      </c>
      <c r="O41">
        <v>82</v>
      </c>
      <c r="P41">
        <f t="shared" si="0"/>
        <v>-18</v>
      </c>
      <c r="Q41">
        <f t="shared" si="1"/>
        <v>-18</v>
      </c>
    </row>
    <row r="42" spans="1:17">
      <c r="A42" t="s">
        <v>41</v>
      </c>
      <c r="B42">
        <v>3</v>
      </c>
      <c r="C42">
        <v>5</v>
      </c>
      <c r="D42">
        <v>3</v>
      </c>
      <c r="E42">
        <v>6</v>
      </c>
      <c r="F42">
        <v>1</v>
      </c>
      <c r="G42">
        <v>0</v>
      </c>
      <c r="H42">
        <v>4</v>
      </c>
      <c r="I42">
        <v>4</v>
      </c>
      <c r="J42">
        <v>4</v>
      </c>
      <c r="K42">
        <v>2</v>
      </c>
      <c r="L42">
        <v>2</v>
      </c>
      <c r="M42">
        <v>2</v>
      </c>
      <c r="N42">
        <v>2</v>
      </c>
      <c r="O42">
        <v>3</v>
      </c>
      <c r="P42">
        <f t="shared" si="0"/>
        <v>0</v>
      </c>
      <c r="Q42">
        <f t="shared" si="1"/>
        <v>0</v>
      </c>
    </row>
    <row r="43" spans="1:17">
      <c r="A43" t="s">
        <v>42</v>
      </c>
      <c r="B43">
        <v>15</v>
      </c>
      <c r="C43">
        <v>21</v>
      </c>
      <c r="D43">
        <v>26</v>
      </c>
      <c r="E43">
        <v>18</v>
      </c>
      <c r="F43">
        <v>15</v>
      </c>
      <c r="G43">
        <v>17</v>
      </c>
      <c r="H43">
        <v>14</v>
      </c>
      <c r="I43">
        <v>10</v>
      </c>
      <c r="J43">
        <v>19</v>
      </c>
      <c r="K43">
        <v>26</v>
      </c>
      <c r="L43">
        <v>15</v>
      </c>
      <c r="M43">
        <v>24</v>
      </c>
      <c r="N43">
        <v>29</v>
      </c>
      <c r="O43">
        <v>31</v>
      </c>
      <c r="P43">
        <f t="shared" si="0"/>
        <v>16</v>
      </c>
      <c r="Q43">
        <f t="shared" si="1"/>
        <v>106.66666666666669</v>
      </c>
    </row>
    <row r="44" spans="1:17">
      <c r="A44" t="s">
        <v>43</v>
      </c>
      <c r="B44">
        <v>5</v>
      </c>
      <c r="C44">
        <v>9</v>
      </c>
      <c r="D44">
        <v>12</v>
      </c>
      <c r="E44">
        <v>5</v>
      </c>
      <c r="F44">
        <v>6</v>
      </c>
      <c r="G44">
        <v>12</v>
      </c>
      <c r="H44">
        <v>3</v>
      </c>
      <c r="I44">
        <v>14</v>
      </c>
      <c r="J44">
        <v>7</v>
      </c>
      <c r="K44">
        <v>6</v>
      </c>
      <c r="L44">
        <v>10</v>
      </c>
      <c r="M44">
        <v>5</v>
      </c>
      <c r="N44">
        <v>3</v>
      </c>
      <c r="O44">
        <v>6</v>
      </c>
      <c r="P44">
        <f t="shared" si="0"/>
        <v>1</v>
      </c>
      <c r="Q44">
        <f t="shared" si="1"/>
        <v>20</v>
      </c>
    </row>
    <row r="45" spans="1:17">
      <c r="A45" t="s">
        <v>44</v>
      </c>
      <c r="B45">
        <v>4</v>
      </c>
      <c r="C45">
        <v>7</v>
      </c>
      <c r="D45">
        <v>2</v>
      </c>
      <c r="E45">
        <v>3</v>
      </c>
      <c r="F45">
        <v>3</v>
      </c>
      <c r="G45">
        <v>12</v>
      </c>
      <c r="H45">
        <v>6</v>
      </c>
      <c r="I45">
        <v>4</v>
      </c>
      <c r="J45">
        <v>1</v>
      </c>
      <c r="K45">
        <v>2</v>
      </c>
      <c r="L45">
        <v>0</v>
      </c>
      <c r="M45">
        <v>4</v>
      </c>
      <c r="N45">
        <v>0</v>
      </c>
      <c r="O45">
        <v>4</v>
      </c>
      <c r="P45">
        <f t="shared" si="0"/>
        <v>0</v>
      </c>
      <c r="Q45">
        <f t="shared" si="1"/>
        <v>0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ABCA-5D21-324E-A615-BA0C55334AD4}">
  <dimension ref="A1:W45"/>
  <sheetViews>
    <sheetView zoomScale="75" workbookViewId="0">
      <selection activeCell="L48" sqref="L48"/>
    </sheetView>
  </sheetViews>
  <sheetFormatPr baseColWidth="10" defaultRowHeight="20"/>
  <sheetData>
    <row r="1" spans="1:23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 t="s">
        <v>47</v>
      </c>
      <c r="W1" t="s">
        <v>46</v>
      </c>
    </row>
    <row r="2" spans="1:23">
      <c r="A2" t="s">
        <v>1</v>
      </c>
      <c r="B2">
        <v>3835</v>
      </c>
      <c r="C2">
        <v>3941</v>
      </c>
      <c r="D2">
        <v>3889</v>
      </c>
      <c r="E2">
        <v>3827</v>
      </c>
      <c r="F2">
        <v>3834</v>
      </c>
      <c r="G2">
        <v>3807</v>
      </c>
      <c r="H2">
        <v>3769</v>
      </c>
      <c r="I2">
        <v>3701</v>
      </c>
      <c r="J2">
        <v>3689</v>
      </c>
      <c r="K2">
        <v>3748</v>
      </c>
      <c r="L2">
        <v>3888</v>
      </c>
      <c r="M2">
        <v>3918</v>
      </c>
      <c r="N2">
        <v>3882</v>
      </c>
      <c r="O2">
        <v>3996</v>
      </c>
      <c r="P2">
        <v>3858</v>
      </c>
      <c r="Q2">
        <v>3909</v>
      </c>
      <c r="R2">
        <v>3941</v>
      </c>
      <c r="S2">
        <v>3908</v>
      </c>
      <c r="T2">
        <v>3860</v>
      </c>
      <c r="U2">
        <v>3966</v>
      </c>
      <c r="V2">
        <f>U2-B2</f>
        <v>131</v>
      </c>
      <c r="W2" s="1">
        <f>U2/B2*100 - 100</f>
        <v>3.4159061277705405</v>
      </c>
    </row>
    <row r="3" spans="1:23">
      <c r="A3" t="s">
        <v>2</v>
      </c>
      <c r="B3">
        <v>7189</v>
      </c>
      <c r="C3">
        <v>7170</v>
      </c>
      <c r="D3">
        <v>7138</v>
      </c>
      <c r="E3">
        <v>7276</v>
      </c>
      <c r="F3">
        <v>7257</v>
      </c>
      <c r="G3">
        <v>7444</v>
      </c>
      <c r="H3">
        <v>7464</v>
      </c>
      <c r="I3">
        <v>7596</v>
      </c>
      <c r="J3">
        <v>7748</v>
      </c>
      <c r="K3">
        <v>7847</v>
      </c>
      <c r="L3">
        <v>7929</v>
      </c>
      <c r="M3">
        <v>8194</v>
      </c>
      <c r="N3">
        <v>8343</v>
      </c>
      <c r="O3">
        <v>8432</v>
      </c>
      <c r="P3">
        <v>8403</v>
      </c>
      <c r="Q3">
        <v>8230</v>
      </c>
      <c r="R3">
        <v>8337</v>
      </c>
      <c r="S3">
        <v>8345</v>
      </c>
      <c r="T3">
        <v>8259</v>
      </c>
      <c r="U3">
        <v>8193</v>
      </c>
      <c r="V3">
        <f t="shared" ref="V3:V45" si="0">U3-B3</f>
        <v>1004</v>
      </c>
      <c r="W3" s="1">
        <f t="shared" ref="W3:W45" si="1">U3/B3*100 - 100</f>
        <v>13.965781054388657</v>
      </c>
    </row>
    <row r="4" spans="1:23">
      <c r="A4" t="s">
        <v>3</v>
      </c>
      <c r="B4">
        <v>5263</v>
      </c>
      <c r="C4">
        <v>5295</v>
      </c>
      <c r="D4">
        <v>5149</v>
      </c>
      <c r="E4">
        <v>5142</v>
      </c>
      <c r="F4">
        <v>5144</v>
      </c>
      <c r="G4">
        <v>5086</v>
      </c>
      <c r="H4">
        <v>4989</v>
      </c>
      <c r="I4">
        <v>4926</v>
      </c>
      <c r="J4">
        <v>4878</v>
      </c>
      <c r="K4">
        <v>4934</v>
      </c>
      <c r="L4">
        <v>4886</v>
      </c>
      <c r="M4">
        <v>4980</v>
      </c>
      <c r="N4">
        <v>4943</v>
      </c>
      <c r="O4">
        <v>4953</v>
      </c>
      <c r="P4">
        <v>4905</v>
      </c>
      <c r="Q4">
        <v>4828</v>
      </c>
      <c r="R4">
        <v>4907</v>
      </c>
      <c r="S4">
        <v>4746</v>
      </c>
      <c r="T4">
        <v>4730</v>
      </c>
      <c r="U4">
        <v>4786</v>
      </c>
      <c r="V4">
        <f t="shared" si="0"/>
        <v>-477</v>
      </c>
      <c r="W4" s="1">
        <f t="shared" si="1"/>
        <v>-9.0632718981569411</v>
      </c>
    </row>
    <row r="5" spans="1:23">
      <c r="A5" t="s">
        <v>4</v>
      </c>
      <c r="B5">
        <v>20362</v>
      </c>
      <c r="C5">
        <v>20172</v>
      </c>
      <c r="D5">
        <v>20306</v>
      </c>
      <c r="E5">
        <v>20020</v>
      </c>
      <c r="F5">
        <v>19949</v>
      </c>
      <c r="G5">
        <v>20112</v>
      </c>
      <c r="H5">
        <v>19974</v>
      </c>
      <c r="I5">
        <v>19649</v>
      </c>
      <c r="J5">
        <v>19680</v>
      </c>
      <c r="K5">
        <v>19555</v>
      </c>
      <c r="L5">
        <v>19310</v>
      </c>
      <c r="M5">
        <v>19316</v>
      </c>
      <c r="N5">
        <v>19314</v>
      </c>
      <c r="O5">
        <v>19169</v>
      </c>
      <c r="P5">
        <v>19140</v>
      </c>
      <c r="Q5">
        <v>19142</v>
      </c>
      <c r="R5">
        <v>18923</v>
      </c>
      <c r="S5">
        <v>18812</v>
      </c>
      <c r="T5">
        <v>18658</v>
      </c>
      <c r="U5">
        <v>18521</v>
      </c>
      <c r="V5">
        <f t="shared" si="0"/>
        <v>-1841</v>
      </c>
      <c r="W5" s="1">
        <f t="shared" si="1"/>
        <v>-9.0413515371770927</v>
      </c>
    </row>
    <row r="6" spans="1:23">
      <c r="A6" t="s">
        <v>5</v>
      </c>
      <c r="B6">
        <v>30238</v>
      </c>
      <c r="C6">
        <v>30391</v>
      </c>
      <c r="D6">
        <v>30492</v>
      </c>
      <c r="E6">
        <v>30508</v>
      </c>
      <c r="F6">
        <v>30979</v>
      </c>
      <c r="G6">
        <v>31117</v>
      </c>
      <c r="H6">
        <v>31319</v>
      </c>
      <c r="I6">
        <v>31656</v>
      </c>
      <c r="J6">
        <v>32057</v>
      </c>
      <c r="K6">
        <v>32044</v>
      </c>
      <c r="L6">
        <v>32164</v>
      </c>
      <c r="M6">
        <v>32195</v>
      </c>
      <c r="N6">
        <v>32051</v>
      </c>
      <c r="O6">
        <v>32062</v>
      </c>
      <c r="P6">
        <v>32164</v>
      </c>
      <c r="Q6">
        <v>31913</v>
      </c>
      <c r="R6">
        <v>31907</v>
      </c>
      <c r="S6">
        <v>31989</v>
      </c>
      <c r="T6">
        <v>31828</v>
      </c>
      <c r="U6">
        <v>31628</v>
      </c>
      <c r="V6">
        <f t="shared" si="0"/>
        <v>1390</v>
      </c>
      <c r="W6" s="1">
        <f t="shared" si="1"/>
        <v>4.5968648720153453</v>
      </c>
    </row>
    <row r="7" spans="1:23">
      <c r="A7" t="s">
        <v>6</v>
      </c>
      <c r="B7">
        <v>12666</v>
      </c>
      <c r="C7">
        <v>12575</v>
      </c>
      <c r="D7">
        <v>12442</v>
      </c>
      <c r="E7">
        <v>12355</v>
      </c>
      <c r="F7">
        <v>12300</v>
      </c>
      <c r="G7">
        <v>12236</v>
      </c>
      <c r="H7">
        <v>12173</v>
      </c>
      <c r="I7">
        <v>12422</v>
      </c>
      <c r="J7">
        <v>12479</v>
      </c>
      <c r="K7">
        <v>12421</v>
      </c>
      <c r="L7">
        <v>12467</v>
      </c>
      <c r="M7">
        <v>12399</v>
      </c>
      <c r="N7">
        <v>12430</v>
      </c>
      <c r="O7">
        <v>12328</v>
      </c>
      <c r="P7">
        <v>12426</v>
      </c>
      <c r="Q7">
        <v>12464</v>
      </c>
      <c r="R7">
        <v>12333</v>
      </c>
      <c r="S7">
        <v>12258</v>
      </c>
      <c r="T7">
        <v>12274</v>
      </c>
      <c r="U7">
        <v>12112</v>
      </c>
      <c r="V7">
        <f t="shared" si="0"/>
        <v>-554</v>
      </c>
      <c r="W7" s="1">
        <f t="shared" si="1"/>
        <v>-4.3739144165482458</v>
      </c>
    </row>
    <row r="8" spans="1:23">
      <c r="A8" t="s">
        <v>7</v>
      </c>
      <c r="B8">
        <v>20772</v>
      </c>
      <c r="C8">
        <v>21001</v>
      </c>
      <c r="D8">
        <v>21126</v>
      </c>
      <c r="E8">
        <v>21243</v>
      </c>
      <c r="F8">
        <v>21422</v>
      </c>
      <c r="G8">
        <v>21582</v>
      </c>
      <c r="H8">
        <v>21667</v>
      </c>
      <c r="I8">
        <v>21559</v>
      </c>
      <c r="J8">
        <v>21872</v>
      </c>
      <c r="K8">
        <v>21756</v>
      </c>
      <c r="L8">
        <v>21685</v>
      </c>
      <c r="M8">
        <v>21680</v>
      </c>
      <c r="N8">
        <v>21630</v>
      </c>
      <c r="O8">
        <v>21700</v>
      </c>
      <c r="P8">
        <v>21620</v>
      </c>
      <c r="Q8">
        <v>21678</v>
      </c>
      <c r="R8">
        <v>21732</v>
      </c>
      <c r="S8">
        <v>21341</v>
      </c>
      <c r="T8">
        <v>21082</v>
      </c>
      <c r="U8">
        <v>20781</v>
      </c>
      <c r="V8">
        <f t="shared" si="0"/>
        <v>9</v>
      </c>
      <c r="W8" s="1">
        <f t="shared" si="1"/>
        <v>4.3327556325834848E-2</v>
      </c>
    </row>
    <row r="9" spans="1:23">
      <c r="A9" t="s">
        <v>8</v>
      </c>
      <c r="B9">
        <v>23339</v>
      </c>
      <c r="C9">
        <v>23277</v>
      </c>
      <c r="D9">
        <v>22897</v>
      </c>
      <c r="E9">
        <v>22765</v>
      </c>
      <c r="F9">
        <v>22697</v>
      </c>
      <c r="G9">
        <v>22494</v>
      </c>
      <c r="H9">
        <v>22605</v>
      </c>
      <c r="I9">
        <v>22659</v>
      </c>
      <c r="J9">
        <v>23158</v>
      </c>
      <c r="K9">
        <v>23141</v>
      </c>
      <c r="L9">
        <v>23240</v>
      </c>
      <c r="M9">
        <v>23142</v>
      </c>
      <c r="N9">
        <v>22998</v>
      </c>
      <c r="O9">
        <v>22824</v>
      </c>
      <c r="P9">
        <v>22646</v>
      </c>
      <c r="Q9">
        <v>22599</v>
      </c>
      <c r="R9">
        <v>22459</v>
      </c>
      <c r="S9">
        <v>22586</v>
      </c>
      <c r="T9">
        <v>22380</v>
      </c>
      <c r="U9">
        <v>22252</v>
      </c>
      <c r="V9">
        <f t="shared" si="0"/>
        <v>-1087</v>
      </c>
      <c r="W9" s="1">
        <f t="shared" si="1"/>
        <v>-4.6574403359184231</v>
      </c>
    </row>
    <row r="10" spans="1:23">
      <c r="A10" t="s">
        <v>9</v>
      </c>
      <c r="B10">
        <v>25394</v>
      </c>
      <c r="C10">
        <v>25311</v>
      </c>
      <c r="D10">
        <v>25336</v>
      </c>
      <c r="E10">
        <v>25402</v>
      </c>
      <c r="F10">
        <v>25379</v>
      </c>
      <c r="G10">
        <v>25537</v>
      </c>
      <c r="H10">
        <v>25693</v>
      </c>
      <c r="I10">
        <v>25848</v>
      </c>
      <c r="J10">
        <v>26023</v>
      </c>
      <c r="K10">
        <v>26118</v>
      </c>
      <c r="L10">
        <v>25873</v>
      </c>
      <c r="M10">
        <v>25968</v>
      </c>
      <c r="N10">
        <v>25825</v>
      </c>
      <c r="O10">
        <v>25912</v>
      </c>
      <c r="P10">
        <v>26140</v>
      </c>
      <c r="Q10">
        <v>25975</v>
      </c>
      <c r="R10">
        <v>25854</v>
      </c>
      <c r="S10">
        <v>25859</v>
      </c>
      <c r="T10">
        <v>25913</v>
      </c>
      <c r="U10">
        <v>25916</v>
      </c>
      <c r="V10">
        <f t="shared" si="0"/>
        <v>522</v>
      </c>
      <c r="W10" s="1">
        <f t="shared" si="1"/>
        <v>2.0556036859100715</v>
      </c>
    </row>
    <row r="11" spans="1:23">
      <c r="A11" t="s">
        <v>10</v>
      </c>
      <c r="B11">
        <v>24426</v>
      </c>
      <c r="C11">
        <v>24200</v>
      </c>
      <c r="D11">
        <v>24090</v>
      </c>
      <c r="E11">
        <v>24188</v>
      </c>
      <c r="F11">
        <v>24338</v>
      </c>
      <c r="G11">
        <v>24349</v>
      </c>
      <c r="H11">
        <v>24340</v>
      </c>
      <c r="I11">
        <v>24092</v>
      </c>
      <c r="J11">
        <v>24333</v>
      </c>
      <c r="K11">
        <v>24425</v>
      </c>
      <c r="L11">
        <v>24217</v>
      </c>
      <c r="M11">
        <v>24083</v>
      </c>
      <c r="N11">
        <v>23992</v>
      </c>
      <c r="O11">
        <v>23913</v>
      </c>
      <c r="P11">
        <v>23565</v>
      </c>
      <c r="Q11">
        <v>23518</v>
      </c>
      <c r="R11">
        <v>23359</v>
      </c>
      <c r="S11">
        <v>23684</v>
      </c>
      <c r="T11">
        <v>23473</v>
      </c>
      <c r="U11">
        <v>23462</v>
      </c>
      <c r="V11">
        <f t="shared" si="0"/>
        <v>-964</v>
      </c>
      <c r="W11" s="1">
        <f t="shared" si="1"/>
        <v>-3.946614263489721</v>
      </c>
    </row>
    <row r="12" spans="1:23">
      <c r="A12" t="s">
        <v>11</v>
      </c>
      <c r="B12">
        <v>25834</v>
      </c>
      <c r="C12">
        <v>25920</v>
      </c>
      <c r="D12">
        <v>25977</v>
      </c>
      <c r="E12">
        <v>25969</v>
      </c>
      <c r="F12">
        <v>26022</v>
      </c>
      <c r="G12">
        <v>26146</v>
      </c>
      <c r="H12">
        <v>26224</v>
      </c>
      <c r="I12">
        <v>26347</v>
      </c>
      <c r="J12">
        <v>26542</v>
      </c>
      <c r="K12">
        <v>26693</v>
      </c>
      <c r="L12">
        <v>26919</v>
      </c>
      <c r="M12">
        <v>27198</v>
      </c>
      <c r="N12">
        <v>27338</v>
      </c>
      <c r="O12">
        <v>27536</v>
      </c>
      <c r="P12">
        <v>27385</v>
      </c>
      <c r="Q12">
        <v>27340</v>
      </c>
      <c r="R12">
        <v>27371</v>
      </c>
      <c r="S12">
        <v>27292</v>
      </c>
      <c r="T12">
        <v>27155</v>
      </c>
      <c r="U12">
        <v>26993</v>
      </c>
      <c r="V12">
        <f t="shared" si="0"/>
        <v>1159</v>
      </c>
      <c r="W12" s="1">
        <f t="shared" si="1"/>
        <v>4.4863358364945327</v>
      </c>
    </row>
    <row r="13" spans="1:23">
      <c r="A13" t="s">
        <v>12</v>
      </c>
      <c r="B13">
        <v>18411</v>
      </c>
      <c r="C13">
        <v>18574</v>
      </c>
      <c r="D13">
        <v>18473</v>
      </c>
      <c r="E13">
        <v>18515</v>
      </c>
      <c r="F13">
        <v>18531</v>
      </c>
      <c r="G13">
        <v>18702</v>
      </c>
      <c r="H13">
        <v>18868</v>
      </c>
      <c r="I13">
        <v>18848</v>
      </c>
      <c r="J13">
        <v>19127</v>
      </c>
      <c r="K13">
        <v>19226</v>
      </c>
      <c r="L13">
        <v>19269</v>
      </c>
      <c r="M13">
        <v>19201</v>
      </c>
      <c r="N13">
        <v>19282</v>
      </c>
      <c r="O13">
        <v>19298</v>
      </c>
      <c r="P13">
        <v>19349</v>
      </c>
      <c r="Q13">
        <v>19250</v>
      </c>
      <c r="R13">
        <v>19204</v>
      </c>
      <c r="S13">
        <v>19138</v>
      </c>
      <c r="T13">
        <v>18981</v>
      </c>
      <c r="U13">
        <v>18789</v>
      </c>
      <c r="V13">
        <f t="shared" si="0"/>
        <v>378</v>
      </c>
      <c r="W13" s="1">
        <f t="shared" si="1"/>
        <v>2.053120417141912</v>
      </c>
    </row>
    <row r="14" spans="1:23">
      <c r="A14" t="s">
        <v>13</v>
      </c>
      <c r="B14">
        <v>10302</v>
      </c>
      <c r="C14">
        <v>10390</v>
      </c>
      <c r="D14">
        <v>10632</v>
      </c>
      <c r="E14">
        <v>10760</v>
      </c>
      <c r="F14">
        <v>10960</v>
      </c>
      <c r="G14">
        <v>11147</v>
      </c>
      <c r="H14">
        <v>11299</v>
      </c>
      <c r="I14">
        <v>11431</v>
      </c>
      <c r="J14">
        <v>11593</v>
      </c>
      <c r="K14">
        <v>11752</v>
      </c>
      <c r="L14">
        <v>11828</v>
      </c>
      <c r="M14">
        <v>11876</v>
      </c>
      <c r="N14">
        <v>11967</v>
      </c>
      <c r="O14">
        <v>12041</v>
      </c>
      <c r="P14">
        <v>12177</v>
      </c>
      <c r="Q14">
        <v>12225</v>
      </c>
      <c r="R14">
        <v>12119</v>
      </c>
      <c r="S14">
        <v>12056</v>
      </c>
      <c r="T14">
        <v>12116</v>
      </c>
      <c r="U14">
        <v>12045</v>
      </c>
      <c r="V14">
        <f t="shared" si="0"/>
        <v>1743</v>
      </c>
      <c r="W14" s="1">
        <f t="shared" si="1"/>
        <v>16.919044845661048</v>
      </c>
    </row>
    <row r="15" spans="1:23">
      <c r="A15" t="s">
        <v>14</v>
      </c>
      <c r="B15">
        <v>15568</v>
      </c>
      <c r="C15">
        <v>15444</v>
      </c>
      <c r="D15">
        <v>15418</v>
      </c>
      <c r="E15">
        <v>15432</v>
      </c>
      <c r="F15">
        <v>15416</v>
      </c>
      <c r="G15">
        <v>15509</v>
      </c>
      <c r="H15">
        <v>15484</v>
      </c>
      <c r="I15">
        <v>15433</v>
      </c>
      <c r="J15">
        <v>15384</v>
      </c>
      <c r="K15">
        <v>15166</v>
      </c>
      <c r="L15">
        <v>14991</v>
      </c>
      <c r="M15">
        <v>14946</v>
      </c>
      <c r="N15">
        <v>14895</v>
      </c>
      <c r="O15">
        <v>14776</v>
      </c>
      <c r="P15">
        <v>14739</v>
      </c>
      <c r="Q15">
        <v>14700</v>
      </c>
      <c r="R15">
        <v>14549</v>
      </c>
      <c r="S15">
        <v>14352</v>
      </c>
      <c r="T15">
        <v>14260</v>
      </c>
      <c r="U15">
        <v>14025</v>
      </c>
      <c r="V15">
        <f t="shared" si="0"/>
        <v>-1543</v>
      </c>
      <c r="W15" s="1">
        <f t="shared" si="1"/>
        <v>-9.9113566289825314</v>
      </c>
    </row>
    <row r="16" spans="1:23">
      <c r="A16" t="s">
        <v>15</v>
      </c>
      <c r="B16">
        <v>6323</v>
      </c>
      <c r="C16">
        <v>6285</v>
      </c>
      <c r="D16">
        <v>6115</v>
      </c>
      <c r="E16">
        <v>5993</v>
      </c>
      <c r="F16">
        <v>5923</v>
      </c>
      <c r="G16">
        <v>5810</v>
      </c>
      <c r="H16">
        <v>5741</v>
      </c>
      <c r="I16">
        <v>5653</v>
      </c>
      <c r="J16">
        <v>5590</v>
      </c>
      <c r="K16">
        <v>5549</v>
      </c>
      <c r="L16">
        <v>5456</v>
      </c>
      <c r="M16">
        <v>5356</v>
      </c>
      <c r="N16">
        <v>5326</v>
      </c>
      <c r="O16">
        <v>5177</v>
      </c>
      <c r="P16">
        <v>5039</v>
      </c>
      <c r="Q16">
        <v>4930</v>
      </c>
      <c r="R16">
        <v>4869</v>
      </c>
      <c r="S16">
        <v>4735</v>
      </c>
      <c r="T16">
        <v>4653</v>
      </c>
      <c r="U16">
        <v>4567</v>
      </c>
      <c r="V16">
        <f t="shared" si="0"/>
        <v>-1756</v>
      </c>
      <c r="W16" s="1">
        <f t="shared" si="1"/>
        <v>-27.771627392060722</v>
      </c>
    </row>
    <row r="17" spans="1:23">
      <c r="A17" t="s">
        <v>16</v>
      </c>
      <c r="B17">
        <v>8148</v>
      </c>
      <c r="C17">
        <v>8100</v>
      </c>
      <c r="D17">
        <v>8104</v>
      </c>
      <c r="E17">
        <v>8062</v>
      </c>
      <c r="F17">
        <v>8091</v>
      </c>
      <c r="G17">
        <v>8018</v>
      </c>
      <c r="H17">
        <v>7910</v>
      </c>
      <c r="I17">
        <v>7932</v>
      </c>
      <c r="J17">
        <v>7896</v>
      </c>
      <c r="K17">
        <v>7828</v>
      </c>
      <c r="L17">
        <v>7733</v>
      </c>
      <c r="M17">
        <v>7658</v>
      </c>
      <c r="N17">
        <v>7605</v>
      </c>
      <c r="O17">
        <v>7471</v>
      </c>
      <c r="P17">
        <v>7341</v>
      </c>
      <c r="Q17">
        <v>7177</v>
      </c>
      <c r="R17">
        <v>7108</v>
      </c>
      <c r="S17">
        <v>6997</v>
      </c>
      <c r="T17">
        <v>6914</v>
      </c>
      <c r="U17">
        <v>6757</v>
      </c>
      <c r="V17">
        <f t="shared" si="0"/>
        <v>-1391</v>
      </c>
      <c r="W17" s="1">
        <f t="shared" si="1"/>
        <v>-17.07167403043691</v>
      </c>
    </row>
    <row r="18" spans="1:23">
      <c r="A18" t="s">
        <v>17</v>
      </c>
      <c r="B18">
        <v>19781</v>
      </c>
      <c r="C18">
        <v>19937</v>
      </c>
      <c r="D18">
        <v>20072</v>
      </c>
      <c r="E18">
        <v>20139</v>
      </c>
      <c r="F18">
        <v>20011</v>
      </c>
      <c r="G18">
        <v>20222</v>
      </c>
      <c r="H18">
        <v>20274</v>
      </c>
      <c r="I18">
        <v>20267</v>
      </c>
      <c r="J18">
        <v>20270</v>
      </c>
      <c r="K18">
        <v>20181</v>
      </c>
      <c r="L18">
        <v>20216</v>
      </c>
      <c r="M18">
        <v>20234</v>
      </c>
      <c r="N18">
        <v>20218</v>
      </c>
      <c r="O18">
        <v>20248</v>
      </c>
      <c r="P18">
        <v>20150</v>
      </c>
      <c r="Q18">
        <v>20142</v>
      </c>
      <c r="R18">
        <v>20085</v>
      </c>
      <c r="S18">
        <v>20080</v>
      </c>
      <c r="T18">
        <v>19987</v>
      </c>
      <c r="U18">
        <v>19928</v>
      </c>
      <c r="V18">
        <f t="shared" si="0"/>
        <v>147</v>
      </c>
      <c r="W18" s="1">
        <f t="shared" si="1"/>
        <v>0.74313735402660086</v>
      </c>
    </row>
    <row r="19" spans="1:23">
      <c r="A19" t="s">
        <v>18</v>
      </c>
      <c r="B19">
        <v>11106</v>
      </c>
      <c r="C19">
        <v>10988</v>
      </c>
      <c r="D19">
        <v>10985</v>
      </c>
      <c r="E19">
        <v>11066</v>
      </c>
      <c r="F19">
        <v>10967</v>
      </c>
      <c r="G19">
        <v>11001</v>
      </c>
      <c r="H19">
        <v>10965</v>
      </c>
      <c r="I19">
        <v>11011</v>
      </c>
      <c r="J19">
        <v>10997</v>
      </c>
      <c r="K19">
        <v>11078</v>
      </c>
      <c r="L19">
        <v>11032</v>
      </c>
      <c r="M19">
        <v>10985</v>
      </c>
      <c r="N19">
        <v>10898</v>
      </c>
      <c r="O19">
        <v>10814</v>
      </c>
      <c r="P19">
        <v>10733</v>
      </c>
      <c r="Q19">
        <v>10496</v>
      </c>
      <c r="R19">
        <v>10379</v>
      </c>
      <c r="S19">
        <v>10223</v>
      </c>
      <c r="T19">
        <v>10208</v>
      </c>
      <c r="U19">
        <v>10054</v>
      </c>
      <c r="V19">
        <f t="shared" si="0"/>
        <v>-1052</v>
      </c>
      <c r="W19" s="1">
        <f t="shared" si="1"/>
        <v>-9.4723572843507924</v>
      </c>
    </row>
    <row r="20" spans="1:23">
      <c r="A20" t="s">
        <v>19</v>
      </c>
      <c r="B20">
        <v>12562</v>
      </c>
      <c r="C20">
        <v>12416</v>
      </c>
      <c r="D20">
        <v>12461</v>
      </c>
      <c r="E20">
        <v>12459</v>
      </c>
      <c r="F20">
        <v>12494</v>
      </c>
      <c r="G20">
        <v>12407</v>
      </c>
      <c r="H20">
        <v>12449</v>
      </c>
      <c r="I20">
        <v>12389</v>
      </c>
      <c r="J20">
        <v>12511</v>
      </c>
      <c r="K20">
        <v>12513</v>
      </c>
      <c r="L20">
        <v>12496</v>
      </c>
      <c r="M20">
        <v>12420</v>
      </c>
      <c r="N20">
        <v>12326</v>
      </c>
      <c r="O20">
        <v>12293</v>
      </c>
      <c r="P20">
        <v>12368</v>
      </c>
      <c r="Q20">
        <v>12236</v>
      </c>
      <c r="R20">
        <v>12169</v>
      </c>
      <c r="S20">
        <v>12114</v>
      </c>
      <c r="T20">
        <v>12011</v>
      </c>
      <c r="U20">
        <v>11883</v>
      </c>
      <c r="V20">
        <f t="shared" si="0"/>
        <v>-679</v>
      </c>
      <c r="W20" s="1">
        <f t="shared" si="1"/>
        <v>-5.4051902563286092</v>
      </c>
    </row>
    <row r="21" spans="1:23">
      <c r="A21" t="s">
        <v>20</v>
      </c>
      <c r="B21">
        <v>12231</v>
      </c>
      <c r="C21">
        <v>12239</v>
      </c>
      <c r="D21">
        <v>12209</v>
      </c>
      <c r="E21">
        <v>12180</v>
      </c>
      <c r="F21">
        <v>12112</v>
      </c>
      <c r="G21">
        <v>12058</v>
      </c>
      <c r="H21">
        <v>11957</v>
      </c>
      <c r="I21">
        <v>11757</v>
      </c>
      <c r="J21">
        <v>11581</v>
      </c>
      <c r="K21">
        <v>11439</v>
      </c>
      <c r="L21">
        <v>11373</v>
      </c>
      <c r="M21">
        <v>11307</v>
      </c>
      <c r="N21">
        <v>11384</v>
      </c>
      <c r="O21">
        <v>11416</v>
      </c>
      <c r="P21">
        <v>11413</v>
      </c>
      <c r="Q21">
        <v>11394</v>
      </c>
      <c r="R21">
        <v>11351</v>
      </c>
      <c r="S21">
        <v>11313</v>
      </c>
      <c r="T21">
        <v>11310</v>
      </c>
      <c r="U21">
        <v>11349</v>
      </c>
      <c r="V21">
        <f t="shared" si="0"/>
        <v>-882</v>
      </c>
      <c r="W21" s="1">
        <f t="shared" si="1"/>
        <v>-7.2111846946284004</v>
      </c>
    </row>
    <row r="22" spans="1:23">
      <c r="A22" t="s">
        <v>21</v>
      </c>
      <c r="B22">
        <v>23138</v>
      </c>
      <c r="C22">
        <v>23443</v>
      </c>
      <c r="D22">
        <v>23710</v>
      </c>
      <c r="E22">
        <v>23645</v>
      </c>
      <c r="F22">
        <v>23620</v>
      </c>
      <c r="G22">
        <v>23678</v>
      </c>
      <c r="H22">
        <v>23824</v>
      </c>
      <c r="I22">
        <v>23784</v>
      </c>
      <c r="J22">
        <v>23727</v>
      </c>
      <c r="K22">
        <v>23628</v>
      </c>
      <c r="L22">
        <v>23642</v>
      </c>
      <c r="M22">
        <v>23728</v>
      </c>
      <c r="N22">
        <v>23720</v>
      </c>
      <c r="O22">
        <v>23789</v>
      </c>
      <c r="P22">
        <v>23746</v>
      </c>
      <c r="Q22">
        <v>23807</v>
      </c>
      <c r="R22">
        <v>23955</v>
      </c>
      <c r="S22">
        <v>23941</v>
      </c>
      <c r="T22">
        <v>23757</v>
      </c>
      <c r="U22">
        <v>23728</v>
      </c>
      <c r="V22">
        <f t="shared" si="0"/>
        <v>590</v>
      </c>
      <c r="W22" s="1">
        <f t="shared" si="1"/>
        <v>2.5499178840003367</v>
      </c>
    </row>
    <row r="23" spans="1:23">
      <c r="A23" t="s">
        <v>22</v>
      </c>
      <c r="B23">
        <v>1064</v>
      </c>
      <c r="C23">
        <v>1032</v>
      </c>
      <c r="D23">
        <v>994</v>
      </c>
      <c r="E23">
        <v>960</v>
      </c>
      <c r="F23">
        <v>945</v>
      </c>
      <c r="G23">
        <v>910</v>
      </c>
      <c r="H23">
        <v>880</v>
      </c>
      <c r="I23">
        <v>864</v>
      </c>
      <c r="J23">
        <v>825</v>
      </c>
      <c r="K23">
        <v>805</v>
      </c>
      <c r="L23">
        <v>785</v>
      </c>
      <c r="M23">
        <v>764</v>
      </c>
      <c r="N23">
        <v>741</v>
      </c>
      <c r="O23">
        <v>714</v>
      </c>
      <c r="P23">
        <v>697</v>
      </c>
      <c r="Q23">
        <v>671</v>
      </c>
      <c r="R23">
        <v>654</v>
      </c>
      <c r="S23">
        <v>635</v>
      </c>
      <c r="T23">
        <v>627</v>
      </c>
      <c r="U23">
        <v>601</v>
      </c>
      <c r="V23">
        <f t="shared" si="0"/>
        <v>-463</v>
      </c>
      <c r="W23" s="1">
        <f t="shared" si="1"/>
        <v>-43.515037593984964</v>
      </c>
    </row>
    <row r="24" spans="1:23">
      <c r="A24" t="s">
        <v>23</v>
      </c>
      <c r="B24">
        <v>713</v>
      </c>
      <c r="C24">
        <v>687</v>
      </c>
      <c r="D24">
        <v>672</v>
      </c>
      <c r="E24">
        <v>660</v>
      </c>
      <c r="F24">
        <v>651</v>
      </c>
      <c r="G24">
        <v>631</v>
      </c>
      <c r="H24">
        <v>616</v>
      </c>
      <c r="I24">
        <v>583</v>
      </c>
      <c r="J24">
        <v>558</v>
      </c>
      <c r="K24">
        <v>528</v>
      </c>
      <c r="L24">
        <v>517</v>
      </c>
      <c r="M24">
        <v>510</v>
      </c>
      <c r="N24">
        <v>502</v>
      </c>
      <c r="O24">
        <v>484</v>
      </c>
      <c r="P24">
        <v>464</v>
      </c>
      <c r="Q24">
        <v>448</v>
      </c>
      <c r="R24">
        <v>437</v>
      </c>
      <c r="S24">
        <v>425</v>
      </c>
      <c r="T24">
        <v>399</v>
      </c>
      <c r="U24">
        <v>394</v>
      </c>
      <c r="V24">
        <f t="shared" si="0"/>
        <v>-319</v>
      </c>
      <c r="W24" s="1">
        <f t="shared" si="1"/>
        <v>-44.740532959326785</v>
      </c>
    </row>
    <row r="25" spans="1:23">
      <c r="A25" t="s">
        <v>24</v>
      </c>
      <c r="B25">
        <v>29463</v>
      </c>
      <c r="C25">
        <v>29543</v>
      </c>
      <c r="D25">
        <v>29607</v>
      </c>
      <c r="E25">
        <v>29680</v>
      </c>
      <c r="F25">
        <v>29672</v>
      </c>
      <c r="G25">
        <v>29730</v>
      </c>
      <c r="H25">
        <v>29941</v>
      </c>
      <c r="I25">
        <v>29837</v>
      </c>
      <c r="J25">
        <v>30082</v>
      </c>
      <c r="K25">
        <v>30336</v>
      </c>
      <c r="L25">
        <v>30523</v>
      </c>
      <c r="M25">
        <v>30552</v>
      </c>
      <c r="N25">
        <v>30463</v>
      </c>
      <c r="O25">
        <v>30610</v>
      </c>
      <c r="P25">
        <v>30550</v>
      </c>
      <c r="Q25">
        <v>30500</v>
      </c>
      <c r="R25">
        <v>30567</v>
      </c>
      <c r="S25">
        <v>30396</v>
      </c>
      <c r="T25">
        <v>30272</v>
      </c>
      <c r="U25">
        <v>30204</v>
      </c>
      <c r="V25">
        <f t="shared" si="0"/>
        <v>741</v>
      </c>
      <c r="W25" s="1">
        <f t="shared" si="1"/>
        <v>2.5150188371856075</v>
      </c>
    </row>
    <row r="26" spans="1:23">
      <c r="A26" t="s">
        <v>25</v>
      </c>
      <c r="B26">
        <v>8430</v>
      </c>
      <c r="C26">
        <v>8469</v>
      </c>
      <c r="D26">
        <v>8491</v>
      </c>
      <c r="E26">
        <v>8555</v>
      </c>
      <c r="F26">
        <v>8556</v>
      </c>
      <c r="G26">
        <v>8531</v>
      </c>
      <c r="H26">
        <v>8501</v>
      </c>
      <c r="I26">
        <v>8411</v>
      </c>
      <c r="J26">
        <v>8507</v>
      </c>
      <c r="K26">
        <v>8483</v>
      </c>
      <c r="L26">
        <v>8466</v>
      </c>
      <c r="M26">
        <v>8373</v>
      </c>
      <c r="N26">
        <v>8345</v>
      </c>
      <c r="O26">
        <v>8276</v>
      </c>
      <c r="P26">
        <v>8218</v>
      </c>
      <c r="Q26">
        <v>8192</v>
      </c>
      <c r="R26">
        <v>8121</v>
      </c>
      <c r="S26">
        <v>8071</v>
      </c>
      <c r="T26">
        <v>8015</v>
      </c>
      <c r="U26">
        <v>7914</v>
      </c>
      <c r="V26">
        <f t="shared" si="0"/>
        <v>-516</v>
      </c>
      <c r="W26" s="1">
        <f t="shared" si="1"/>
        <v>-6.120996441281136</v>
      </c>
    </row>
    <row r="27" spans="1:23">
      <c r="A27" t="s">
        <v>26</v>
      </c>
      <c r="B27">
        <v>478</v>
      </c>
      <c r="C27">
        <v>467</v>
      </c>
      <c r="D27">
        <v>446</v>
      </c>
      <c r="E27">
        <v>439</v>
      </c>
      <c r="F27">
        <v>433</v>
      </c>
      <c r="G27">
        <v>421</v>
      </c>
      <c r="H27">
        <v>419</v>
      </c>
      <c r="I27">
        <v>412</v>
      </c>
      <c r="J27">
        <v>403</v>
      </c>
      <c r="K27">
        <v>369</v>
      </c>
      <c r="L27">
        <v>356</v>
      </c>
      <c r="M27">
        <v>335</v>
      </c>
      <c r="N27">
        <v>322</v>
      </c>
      <c r="O27">
        <v>323</v>
      </c>
      <c r="P27">
        <v>306</v>
      </c>
      <c r="Q27">
        <v>296</v>
      </c>
      <c r="R27">
        <v>280</v>
      </c>
      <c r="S27">
        <v>262</v>
      </c>
      <c r="T27">
        <v>248</v>
      </c>
      <c r="U27">
        <v>237</v>
      </c>
      <c r="V27">
        <f t="shared" si="0"/>
        <v>-241</v>
      </c>
      <c r="W27" s="1">
        <f t="shared" si="1"/>
        <v>-50.418410041841007</v>
      </c>
    </row>
    <row r="28" spans="1:23">
      <c r="A28" t="s">
        <v>27</v>
      </c>
      <c r="B28">
        <v>5625</v>
      </c>
      <c r="C28">
        <v>5605</v>
      </c>
      <c r="D28">
        <v>5650</v>
      </c>
      <c r="E28">
        <v>5676</v>
      </c>
      <c r="F28">
        <v>5714</v>
      </c>
      <c r="G28">
        <v>5758</v>
      </c>
      <c r="H28">
        <v>5844</v>
      </c>
      <c r="I28">
        <v>5916</v>
      </c>
      <c r="J28">
        <v>6028</v>
      </c>
      <c r="K28">
        <v>6066</v>
      </c>
      <c r="L28">
        <v>6189</v>
      </c>
      <c r="M28">
        <v>6328</v>
      </c>
      <c r="N28">
        <v>6342</v>
      </c>
      <c r="O28">
        <v>6366</v>
      </c>
      <c r="P28">
        <v>6402</v>
      </c>
      <c r="Q28">
        <v>6416</v>
      </c>
      <c r="R28">
        <v>6396</v>
      </c>
      <c r="S28">
        <v>6325</v>
      </c>
      <c r="T28">
        <v>6222</v>
      </c>
      <c r="U28">
        <v>6114</v>
      </c>
      <c r="V28">
        <f t="shared" si="0"/>
        <v>489</v>
      </c>
      <c r="W28" s="1">
        <f t="shared" si="1"/>
        <v>8.693333333333328</v>
      </c>
    </row>
    <row r="29" spans="1:23">
      <c r="A29" t="s">
        <v>28</v>
      </c>
      <c r="B29">
        <v>678</v>
      </c>
      <c r="C29">
        <v>655</v>
      </c>
      <c r="D29">
        <v>636</v>
      </c>
      <c r="E29">
        <v>628</v>
      </c>
      <c r="F29">
        <v>629</v>
      </c>
      <c r="G29">
        <v>612</v>
      </c>
      <c r="H29">
        <v>585</v>
      </c>
      <c r="I29">
        <v>561</v>
      </c>
      <c r="J29">
        <v>559</v>
      </c>
      <c r="K29">
        <v>549</v>
      </c>
      <c r="L29">
        <v>549</v>
      </c>
      <c r="M29">
        <v>524</v>
      </c>
      <c r="N29">
        <v>506</v>
      </c>
      <c r="O29">
        <v>498</v>
      </c>
      <c r="P29">
        <v>502</v>
      </c>
      <c r="Q29">
        <v>484</v>
      </c>
      <c r="R29">
        <v>462</v>
      </c>
      <c r="S29">
        <v>448</v>
      </c>
      <c r="T29">
        <v>436</v>
      </c>
      <c r="U29">
        <v>424</v>
      </c>
      <c r="V29">
        <f t="shared" si="0"/>
        <v>-254</v>
      </c>
      <c r="W29" s="1">
        <f t="shared" si="1"/>
        <v>-37.463126843657811</v>
      </c>
    </row>
    <row r="30" spans="1:23">
      <c r="A30" t="s">
        <v>29</v>
      </c>
      <c r="B30">
        <v>17364</v>
      </c>
      <c r="C30">
        <v>17580</v>
      </c>
      <c r="D30">
        <v>17797</v>
      </c>
      <c r="E30">
        <v>17679</v>
      </c>
      <c r="F30">
        <v>17667</v>
      </c>
      <c r="G30">
        <v>17540</v>
      </c>
      <c r="H30">
        <v>17420</v>
      </c>
      <c r="I30">
        <v>17471</v>
      </c>
      <c r="J30">
        <v>17557</v>
      </c>
      <c r="K30">
        <v>17592</v>
      </c>
      <c r="L30">
        <v>17640</v>
      </c>
      <c r="M30">
        <v>17626</v>
      </c>
      <c r="N30">
        <v>17628</v>
      </c>
      <c r="O30">
        <v>17574</v>
      </c>
      <c r="P30">
        <v>17493</v>
      </c>
      <c r="Q30">
        <v>17498</v>
      </c>
      <c r="R30">
        <v>17555</v>
      </c>
      <c r="S30">
        <v>17404</v>
      </c>
      <c r="T30">
        <v>17348</v>
      </c>
      <c r="U30">
        <v>17244</v>
      </c>
      <c r="V30">
        <f t="shared" si="0"/>
        <v>-120</v>
      </c>
      <c r="W30" s="1">
        <f t="shared" si="1"/>
        <v>-0.69108500345542723</v>
      </c>
    </row>
    <row r="31" spans="1:23">
      <c r="A31" t="s">
        <v>30</v>
      </c>
      <c r="B31">
        <v>9647</v>
      </c>
      <c r="C31">
        <v>9693</v>
      </c>
      <c r="D31">
        <v>9721</v>
      </c>
      <c r="E31">
        <v>9808</v>
      </c>
      <c r="F31">
        <v>9783</v>
      </c>
      <c r="G31">
        <v>9806</v>
      </c>
      <c r="H31">
        <v>9780</v>
      </c>
      <c r="I31">
        <v>9708</v>
      </c>
      <c r="J31">
        <v>9751</v>
      </c>
      <c r="K31">
        <v>9699</v>
      </c>
      <c r="L31">
        <v>9728</v>
      </c>
      <c r="M31">
        <v>9709</v>
      </c>
      <c r="N31">
        <v>9588</v>
      </c>
      <c r="O31">
        <v>9553</v>
      </c>
      <c r="P31">
        <v>9483</v>
      </c>
      <c r="Q31">
        <v>9409</v>
      </c>
      <c r="R31">
        <v>9289</v>
      </c>
      <c r="S31">
        <v>9332</v>
      </c>
      <c r="T31">
        <v>9274</v>
      </c>
      <c r="U31">
        <v>9223</v>
      </c>
      <c r="V31">
        <f t="shared" si="0"/>
        <v>-424</v>
      </c>
      <c r="W31" s="1">
        <f t="shared" si="1"/>
        <v>-4.395148750907012</v>
      </c>
    </row>
    <row r="32" spans="1:23">
      <c r="A32" t="s">
        <v>31</v>
      </c>
      <c r="B32">
        <v>57347</v>
      </c>
      <c r="C32">
        <v>57634</v>
      </c>
      <c r="D32">
        <v>57730</v>
      </c>
      <c r="E32">
        <v>57782</v>
      </c>
      <c r="F32">
        <v>57684</v>
      </c>
      <c r="G32">
        <v>57955</v>
      </c>
      <c r="H32">
        <v>58486</v>
      </c>
      <c r="I32">
        <v>58801</v>
      </c>
      <c r="J32">
        <v>58995</v>
      </c>
      <c r="K32">
        <v>59131</v>
      </c>
      <c r="L32">
        <v>59205</v>
      </c>
      <c r="M32">
        <v>59278</v>
      </c>
      <c r="N32">
        <v>59440</v>
      </c>
      <c r="O32">
        <v>59318</v>
      </c>
      <c r="P32">
        <v>59303</v>
      </c>
      <c r="Q32">
        <v>59385</v>
      </c>
      <c r="R32">
        <v>59335</v>
      </c>
      <c r="S32">
        <v>59263</v>
      </c>
      <c r="T32">
        <v>58945</v>
      </c>
      <c r="U32">
        <v>58448</v>
      </c>
      <c r="V32">
        <f t="shared" si="0"/>
        <v>1101</v>
      </c>
      <c r="W32" s="1">
        <f t="shared" si="1"/>
        <v>1.9198911887282577</v>
      </c>
    </row>
    <row r="33" spans="1:23">
      <c r="A33" t="s">
        <v>32</v>
      </c>
      <c r="B33">
        <v>9285</v>
      </c>
      <c r="C33">
        <v>9255</v>
      </c>
      <c r="D33">
        <v>9261</v>
      </c>
      <c r="E33">
        <v>9241</v>
      </c>
      <c r="F33">
        <v>9258</v>
      </c>
      <c r="G33">
        <v>9101</v>
      </c>
      <c r="H33">
        <v>8981</v>
      </c>
      <c r="I33">
        <v>8891</v>
      </c>
      <c r="J33">
        <v>8885</v>
      </c>
      <c r="K33">
        <v>8783</v>
      </c>
      <c r="L33">
        <v>8702</v>
      </c>
      <c r="M33">
        <v>8578</v>
      </c>
      <c r="N33">
        <v>8438</v>
      </c>
      <c r="O33">
        <v>8350</v>
      </c>
      <c r="P33">
        <v>8339</v>
      </c>
      <c r="Q33">
        <v>8306</v>
      </c>
      <c r="R33">
        <v>8203</v>
      </c>
      <c r="S33">
        <v>8157</v>
      </c>
      <c r="T33">
        <v>8043</v>
      </c>
      <c r="U33">
        <v>7930</v>
      </c>
      <c r="V33">
        <f t="shared" si="0"/>
        <v>-1355</v>
      </c>
      <c r="W33" s="1">
        <f t="shared" si="1"/>
        <v>-14.593430263866452</v>
      </c>
    </row>
    <row r="34" spans="1:23">
      <c r="A34" t="s">
        <v>33</v>
      </c>
      <c r="B34">
        <v>2192</v>
      </c>
      <c r="C34">
        <v>2181</v>
      </c>
      <c r="D34">
        <v>2138</v>
      </c>
      <c r="E34">
        <v>2115</v>
      </c>
      <c r="F34">
        <v>2076</v>
      </c>
      <c r="G34">
        <v>2072</v>
      </c>
      <c r="H34">
        <v>2022</v>
      </c>
      <c r="I34">
        <v>2007</v>
      </c>
      <c r="J34">
        <v>1954</v>
      </c>
      <c r="K34">
        <v>1921</v>
      </c>
      <c r="L34">
        <v>1879</v>
      </c>
      <c r="M34">
        <v>1842</v>
      </c>
      <c r="N34">
        <v>1808</v>
      </c>
      <c r="O34">
        <v>1758</v>
      </c>
      <c r="P34">
        <v>1728</v>
      </c>
      <c r="Q34">
        <v>1691</v>
      </c>
      <c r="R34">
        <v>1657</v>
      </c>
      <c r="S34">
        <v>1629</v>
      </c>
      <c r="T34">
        <v>1585</v>
      </c>
      <c r="U34">
        <v>1549</v>
      </c>
      <c r="V34">
        <f t="shared" si="0"/>
        <v>-643</v>
      </c>
      <c r="W34" s="1">
        <f t="shared" si="1"/>
        <v>-29.333941605839414</v>
      </c>
    </row>
    <row r="35" spans="1:23">
      <c r="A35" t="s">
        <v>34</v>
      </c>
      <c r="B35">
        <v>1593</v>
      </c>
      <c r="C35">
        <v>1573</v>
      </c>
      <c r="D35">
        <v>1531</v>
      </c>
      <c r="E35">
        <v>1508</v>
      </c>
      <c r="F35">
        <v>1456</v>
      </c>
      <c r="G35">
        <v>1436</v>
      </c>
      <c r="H35">
        <v>1394</v>
      </c>
      <c r="I35">
        <v>1363</v>
      </c>
      <c r="J35">
        <v>1337</v>
      </c>
      <c r="K35">
        <v>1288</v>
      </c>
      <c r="L35">
        <v>1253</v>
      </c>
      <c r="M35">
        <v>1238</v>
      </c>
      <c r="N35">
        <v>1207</v>
      </c>
      <c r="O35">
        <v>1178</v>
      </c>
      <c r="P35">
        <v>1141</v>
      </c>
      <c r="Q35">
        <v>1116</v>
      </c>
      <c r="R35">
        <v>1091</v>
      </c>
      <c r="S35">
        <v>1072</v>
      </c>
      <c r="T35">
        <v>1032</v>
      </c>
      <c r="U35">
        <v>1022</v>
      </c>
      <c r="V35">
        <f t="shared" si="0"/>
        <v>-571</v>
      </c>
      <c r="W35" s="1">
        <f t="shared" si="1"/>
        <v>-35.844318895166353</v>
      </c>
    </row>
    <row r="36" spans="1:23">
      <c r="A36" t="s">
        <v>35</v>
      </c>
      <c r="B36">
        <v>1199</v>
      </c>
      <c r="C36">
        <v>1180</v>
      </c>
      <c r="D36">
        <v>1157</v>
      </c>
      <c r="E36">
        <v>1124</v>
      </c>
      <c r="F36">
        <v>1104</v>
      </c>
      <c r="G36">
        <v>1074</v>
      </c>
      <c r="H36">
        <v>1046</v>
      </c>
      <c r="I36">
        <v>1014</v>
      </c>
      <c r="J36">
        <v>986</v>
      </c>
      <c r="K36">
        <v>943</v>
      </c>
      <c r="L36">
        <v>922</v>
      </c>
      <c r="M36">
        <v>889</v>
      </c>
      <c r="N36">
        <v>856</v>
      </c>
      <c r="O36">
        <v>838</v>
      </c>
      <c r="P36">
        <v>849</v>
      </c>
      <c r="Q36">
        <v>836</v>
      </c>
      <c r="R36">
        <v>822</v>
      </c>
      <c r="S36">
        <v>778</v>
      </c>
      <c r="T36">
        <v>765</v>
      </c>
      <c r="U36">
        <v>730</v>
      </c>
      <c r="V36">
        <f t="shared" si="0"/>
        <v>-469</v>
      </c>
      <c r="W36" s="1">
        <f t="shared" si="1"/>
        <v>-39.115929941618013</v>
      </c>
    </row>
    <row r="37" spans="1:23">
      <c r="A37" t="s">
        <v>36</v>
      </c>
      <c r="B37">
        <v>2217</v>
      </c>
      <c r="C37">
        <v>2224</v>
      </c>
      <c r="D37">
        <v>2206</v>
      </c>
      <c r="E37">
        <v>2193</v>
      </c>
      <c r="F37">
        <v>2187</v>
      </c>
      <c r="G37">
        <v>2188</v>
      </c>
      <c r="H37">
        <v>2178</v>
      </c>
      <c r="I37">
        <v>2168</v>
      </c>
      <c r="J37">
        <v>2144</v>
      </c>
      <c r="K37">
        <v>2129</v>
      </c>
      <c r="L37">
        <v>2097</v>
      </c>
      <c r="M37">
        <v>2094</v>
      </c>
      <c r="N37">
        <v>2064</v>
      </c>
      <c r="O37">
        <v>1996</v>
      </c>
      <c r="P37">
        <v>1953</v>
      </c>
      <c r="Q37">
        <v>1892</v>
      </c>
      <c r="R37">
        <v>1852</v>
      </c>
      <c r="S37">
        <v>1815</v>
      </c>
      <c r="T37">
        <v>1783</v>
      </c>
      <c r="U37">
        <v>1791</v>
      </c>
      <c r="V37">
        <f t="shared" si="0"/>
        <v>-426</v>
      </c>
      <c r="W37" s="1">
        <f t="shared" si="1"/>
        <v>-19.215155615696887</v>
      </c>
    </row>
    <row r="38" spans="1:23">
      <c r="A38" t="s">
        <v>37</v>
      </c>
      <c r="B38">
        <v>2410</v>
      </c>
      <c r="C38">
        <v>2432</v>
      </c>
      <c r="D38">
        <v>2432</v>
      </c>
      <c r="E38">
        <v>2423</v>
      </c>
      <c r="F38">
        <v>2384</v>
      </c>
      <c r="G38">
        <v>2374</v>
      </c>
      <c r="H38">
        <v>2315</v>
      </c>
      <c r="I38">
        <v>2303</v>
      </c>
      <c r="J38">
        <v>2281</v>
      </c>
      <c r="K38">
        <v>2243</v>
      </c>
      <c r="L38">
        <v>2252</v>
      </c>
      <c r="M38">
        <v>2212</v>
      </c>
      <c r="N38">
        <v>2155</v>
      </c>
      <c r="O38">
        <v>2113</v>
      </c>
      <c r="P38">
        <v>2077</v>
      </c>
      <c r="Q38">
        <v>2054</v>
      </c>
      <c r="R38">
        <v>2006</v>
      </c>
      <c r="S38">
        <v>1973</v>
      </c>
      <c r="T38">
        <v>1938</v>
      </c>
      <c r="U38">
        <v>1886</v>
      </c>
      <c r="V38">
        <f t="shared" si="0"/>
        <v>-524</v>
      </c>
      <c r="W38" s="1">
        <f t="shared" si="1"/>
        <v>-21.742738589211612</v>
      </c>
    </row>
    <row r="39" spans="1:23">
      <c r="A39" t="s">
        <v>38</v>
      </c>
      <c r="B39">
        <v>8462</v>
      </c>
      <c r="C39">
        <v>8434</v>
      </c>
      <c r="D39">
        <v>8398</v>
      </c>
      <c r="E39">
        <v>8352</v>
      </c>
      <c r="F39">
        <v>8348</v>
      </c>
      <c r="G39">
        <v>8271</v>
      </c>
      <c r="H39">
        <v>8220</v>
      </c>
      <c r="I39">
        <v>8158</v>
      </c>
      <c r="J39">
        <v>8232</v>
      </c>
      <c r="K39">
        <v>8122</v>
      </c>
      <c r="L39">
        <v>8116</v>
      </c>
      <c r="M39">
        <v>8035</v>
      </c>
      <c r="N39">
        <v>8016</v>
      </c>
      <c r="O39">
        <v>7965</v>
      </c>
      <c r="P39">
        <v>7857</v>
      </c>
      <c r="Q39">
        <v>7877</v>
      </c>
      <c r="R39">
        <v>7861</v>
      </c>
      <c r="S39">
        <v>7775</v>
      </c>
      <c r="T39">
        <v>7742</v>
      </c>
      <c r="U39">
        <v>7705</v>
      </c>
      <c r="V39">
        <f t="shared" si="0"/>
        <v>-757</v>
      </c>
      <c r="W39" s="1">
        <f t="shared" si="1"/>
        <v>-8.94587567950839</v>
      </c>
    </row>
    <row r="40" spans="1:23">
      <c r="A40" t="s">
        <v>39</v>
      </c>
      <c r="B40">
        <v>5809</v>
      </c>
      <c r="C40">
        <v>5781</v>
      </c>
      <c r="D40">
        <v>5888</v>
      </c>
      <c r="E40">
        <v>5902</v>
      </c>
      <c r="F40">
        <v>5930</v>
      </c>
      <c r="G40">
        <v>5958</v>
      </c>
      <c r="H40">
        <v>5955</v>
      </c>
      <c r="I40">
        <v>6005</v>
      </c>
      <c r="J40">
        <v>5973</v>
      </c>
      <c r="K40">
        <v>5920</v>
      </c>
      <c r="L40">
        <v>5921</v>
      </c>
      <c r="M40">
        <v>5867</v>
      </c>
      <c r="N40">
        <v>5809</v>
      </c>
      <c r="O40">
        <v>5740</v>
      </c>
      <c r="P40">
        <v>5673</v>
      </c>
      <c r="Q40">
        <v>5626</v>
      </c>
      <c r="R40">
        <v>5516</v>
      </c>
      <c r="S40">
        <v>5435</v>
      </c>
      <c r="T40">
        <v>5322</v>
      </c>
      <c r="U40">
        <v>5253</v>
      </c>
      <c r="V40">
        <f t="shared" si="0"/>
        <v>-556</v>
      </c>
      <c r="W40" s="1">
        <f t="shared" si="1"/>
        <v>-9.5713547942847299</v>
      </c>
    </row>
    <row r="41" spans="1:23">
      <c r="A41" t="s">
        <v>40</v>
      </c>
      <c r="B41">
        <v>7115</v>
      </c>
      <c r="C41">
        <v>7156</v>
      </c>
      <c r="D41">
        <v>7238</v>
      </c>
      <c r="E41">
        <v>7264</v>
      </c>
      <c r="F41">
        <v>7380</v>
      </c>
      <c r="G41">
        <v>7424</v>
      </c>
      <c r="H41">
        <v>7444</v>
      </c>
      <c r="I41">
        <v>7450</v>
      </c>
      <c r="J41">
        <v>7409</v>
      </c>
      <c r="K41">
        <v>7430</v>
      </c>
      <c r="L41">
        <v>7424</v>
      </c>
      <c r="M41">
        <v>7357</v>
      </c>
      <c r="N41">
        <v>7281</v>
      </c>
      <c r="O41">
        <v>7250</v>
      </c>
      <c r="P41">
        <v>7199</v>
      </c>
      <c r="Q41">
        <v>7100</v>
      </c>
      <c r="R41">
        <v>7018</v>
      </c>
      <c r="S41">
        <v>6931</v>
      </c>
      <c r="T41">
        <v>6887</v>
      </c>
      <c r="U41">
        <v>6774</v>
      </c>
      <c r="V41">
        <f t="shared" si="0"/>
        <v>-341</v>
      </c>
      <c r="W41" s="1">
        <f t="shared" si="1"/>
        <v>-4.7926914968376622</v>
      </c>
    </row>
    <row r="42" spans="1:23">
      <c r="A42" t="s">
        <v>41</v>
      </c>
      <c r="B42">
        <v>620</v>
      </c>
      <c r="C42">
        <v>588</v>
      </c>
      <c r="D42">
        <v>566</v>
      </c>
      <c r="E42">
        <v>546</v>
      </c>
      <c r="F42">
        <v>520</v>
      </c>
      <c r="G42">
        <v>483</v>
      </c>
      <c r="H42">
        <v>460</v>
      </c>
      <c r="I42">
        <v>434</v>
      </c>
      <c r="J42">
        <v>412</v>
      </c>
      <c r="K42">
        <v>393</v>
      </c>
      <c r="L42">
        <v>384</v>
      </c>
      <c r="M42">
        <v>367</v>
      </c>
      <c r="N42">
        <v>348</v>
      </c>
      <c r="O42">
        <v>332</v>
      </c>
      <c r="P42">
        <v>319</v>
      </c>
      <c r="Q42">
        <v>306</v>
      </c>
      <c r="R42">
        <v>296</v>
      </c>
      <c r="S42">
        <v>286</v>
      </c>
      <c r="T42">
        <v>270</v>
      </c>
      <c r="U42">
        <v>258</v>
      </c>
      <c r="V42">
        <f t="shared" si="0"/>
        <v>-362</v>
      </c>
      <c r="W42" s="1">
        <f t="shared" si="1"/>
        <v>-58.387096774193544</v>
      </c>
    </row>
    <row r="43" spans="1:23">
      <c r="A43" t="s">
        <v>42</v>
      </c>
      <c r="B43">
        <v>3033</v>
      </c>
      <c r="C43">
        <v>2951</v>
      </c>
      <c r="D43">
        <v>2861</v>
      </c>
      <c r="E43">
        <v>2771</v>
      </c>
      <c r="F43">
        <v>2680</v>
      </c>
      <c r="G43">
        <v>2589</v>
      </c>
      <c r="H43">
        <v>2514</v>
      </c>
      <c r="I43">
        <v>2446</v>
      </c>
      <c r="J43">
        <v>2384</v>
      </c>
      <c r="K43">
        <v>2318</v>
      </c>
      <c r="L43">
        <v>2245</v>
      </c>
      <c r="M43">
        <v>2168</v>
      </c>
      <c r="N43">
        <v>2109</v>
      </c>
      <c r="O43">
        <v>2025</v>
      </c>
      <c r="P43">
        <v>1959</v>
      </c>
      <c r="Q43">
        <v>1894</v>
      </c>
      <c r="R43">
        <v>1842</v>
      </c>
      <c r="S43">
        <v>1762</v>
      </c>
      <c r="T43">
        <v>1675</v>
      </c>
      <c r="U43">
        <v>1617</v>
      </c>
      <c r="V43">
        <f t="shared" si="0"/>
        <v>-1416</v>
      </c>
      <c r="W43" s="1">
        <f t="shared" si="1"/>
        <v>-46.686449060336301</v>
      </c>
    </row>
    <row r="44" spans="1:23">
      <c r="A44" t="s">
        <v>43</v>
      </c>
      <c r="B44">
        <v>1100</v>
      </c>
      <c r="C44">
        <v>1053</v>
      </c>
      <c r="D44">
        <v>1025</v>
      </c>
      <c r="E44">
        <v>1000</v>
      </c>
      <c r="F44">
        <v>970</v>
      </c>
      <c r="G44">
        <v>919</v>
      </c>
      <c r="H44">
        <v>887</v>
      </c>
      <c r="I44">
        <v>866</v>
      </c>
      <c r="J44">
        <v>819</v>
      </c>
      <c r="K44">
        <v>791</v>
      </c>
      <c r="L44">
        <v>766</v>
      </c>
      <c r="M44">
        <v>740</v>
      </c>
      <c r="N44">
        <v>705</v>
      </c>
      <c r="O44">
        <v>678</v>
      </c>
      <c r="P44">
        <v>665</v>
      </c>
      <c r="Q44">
        <v>656</v>
      </c>
      <c r="R44">
        <v>637</v>
      </c>
      <c r="S44">
        <v>623</v>
      </c>
      <c r="T44">
        <v>599</v>
      </c>
      <c r="U44">
        <v>582</v>
      </c>
      <c r="V44">
        <f t="shared" si="0"/>
        <v>-518</v>
      </c>
      <c r="W44" s="1">
        <f t="shared" si="1"/>
        <v>-47.090909090909093</v>
      </c>
    </row>
    <row r="45" spans="1:23">
      <c r="A45" t="s">
        <v>44</v>
      </c>
      <c r="B45">
        <v>1408</v>
      </c>
      <c r="C45">
        <v>1330</v>
      </c>
      <c r="D45">
        <v>1288</v>
      </c>
      <c r="E45">
        <v>1242</v>
      </c>
      <c r="F45">
        <v>1199</v>
      </c>
      <c r="G45">
        <v>1168</v>
      </c>
      <c r="H45">
        <v>1120</v>
      </c>
      <c r="I45">
        <v>1086</v>
      </c>
      <c r="J45">
        <v>1037</v>
      </c>
      <c r="K45">
        <v>991</v>
      </c>
      <c r="L45">
        <v>929</v>
      </c>
      <c r="M45">
        <v>887</v>
      </c>
      <c r="N45">
        <v>842</v>
      </c>
      <c r="O45">
        <v>790</v>
      </c>
      <c r="P45">
        <v>743</v>
      </c>
      <c r="Q45">
        <v>704</v>
      </c>
      <c r="R45">
        <v>675</v>
      </c>
      <c r="S45">
        <v>645</v>
      </c>
      <c r="T45">
        <v>629</v>
      </c>
      <c r="U45">
        <v>596</v>
      </c>
      <c r="V45">
        <f t="shared" si="0"/>
        <v>-812</v>
      </c>
      <c r="W45" s="1">
        <f t="shared" si="1"/>
        <v>-57.670454545454547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C299-65F4-1B41-B58D-02571B9F39F9}">
  <dimension ref="A1:L45"/>
  <sheetViews>
    <sheetView zoomScale="75" workbookViewId="0">
      <selection activeCell="M37" sqref="M37"/>
    </sheetView>
  </sheetViews>
  <sheetFormatPr baseColWidth="10" defaultRowHeight="20"/>
  <sheetData>
    <row r="1" spans="1:1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t="s">
        <v>49</v>
      </c>
    </row>
    <row r="2" spans="1:12">
      <c r="A2" t="s">
        <v>1</v>
      </c>
      <c r="B2">
        <f>地区内転居出!B2/地区別人口!L2</f>
        <v>7.1244855967078191E-2</v>
      </c>
      <c r="C2">
        <f>地区内転居出!C2/地区別人口!M2</f>
        <v>5.9213884635017866E-2</v>
      </c>
      <c r="D2">
        <f>地区内転居出!D2/地区別人口!N2</f>
        <v>7.1097372488408042E-2</v>
      </c>
      <c r="E2">
        <f>地区内転居出!E2/地区別人口!O2</f>
        <v>8.0330330330330324E-2</v>
      </c>
      <c r="F2">
        <f>地区内転居出!F2/地区別人口!P2</f>
        <v>5.5987558320373249E-2</v>
      </c>
      <c r="G2">
        <f>地区内転居出!G2/地区別人口!Q2</f>
        <v>5.014070094653364E-2</v>
      </c>
      <c r="H2">
        <f>地区内転居出!H2/地区別人口!R2</f>
        <v>4.2121289012940877E-2</v>
      </c>
      <c r="I2">
        <f>地区内転居出!I2/地区別人口!S2</f>
        <v>5.9877175025588536E-2</v>
      </c>
      <c r="J2">
        <f>地区内転居出!J2/地区別人口!T2</f>
        <v>6.4507772020725385E-2</v>
      </c>
      <c r="K2">
        <f>地区内転居出!K2/地区別人口!U2</f>
        <v>4.790721129601614E-2</v>
      </c>
      <c r="L2">
        <f>AVERAGE(B2:K2)</f>
        <v>6.0242815004301217E-2</v>
      </c>
    </row>
    <row r="3" spans="1:12">
      <c r="A3" t="s">
        <v>2</v>
      </c>
      <c r="B3">
        <f>地区内転居出!B3/地区別人口!L3</f>
        <v>6.4699205448354141E-2</v>
      </c>
      <c r="C3">
        <f>地区内転居出!C3/地区別人口!M3</f>
        <v>5.0646814742494509E-2</v>
      </c>
      <c r="D3">
        <f>地区内転居出!D3/地区別人口!N3</f>
        <v>5.8731871029605656E-2</v>
      </c>
      <c r="E3">
        <f>地区内転居出!E3/地区別人口!O3</f>
        <v>5.7400379506641369E-2</v>
      </c>
      <c r="F3">
        <f>地区内転居出!F3/地区別人口!P3</f>
        <v>5.6051410210639058E-2</v>
      </c>
      <c r="G3">
        <f>地区内転居出!G3/地区別人口!Q3</f>
        <v>5.3948967193195627E-2</v>
      </c>
      <c r="H3">
        <f>地区内転居出!H3/地区別人口!R3</f>
        <v>5.0977569869257527E-2</v>
      </c>
      <c r="I3">
        <f>地区内転居出!I3/地区別人口!S3</f>
        <v>5.6081485919712404E-2</v>
      </c>
      <c r="J3">
        <f>地区内転居出!J3/地区別人口!T3</f>
        <v>4.6494733018525247E-2</v>
      </c>
      <c r="K3">
        <f>地区内転居出!K3/地区別人口!U3</f>
        <v>4.7601611131453683E-2</v>
      </c>
      <c r="L3">
        <f t="shared" ref="L3:L45" si="0">AVERAGE(B3:K3)</f>
        <v>5.4263404806987922E-2</v>
      </c>
    </row>
    <row r="4" spans="1:12">
      <c r="A4" t="s">
        <v>3</v>
      </c>
      <c r="B4">
        <f>地区内転居出!B4/地区別人口!L4</f>
        <v>7.1223905034793283E-2</v>
      </c>
      <c r="C4">
        <f>地区内転居出!C4/地区別人口!M4</f>
        <v>6.6465863453815263E-2</v>
      </c>
      <c r="D4">
        <f>地区内転居出!D4/地区別人口!N4</f>
        <v>6.6558769977746304E-2</v>
      </c>
      <c r="E4">
        <f>地区内転居出!E4/地区別人口!O4</f>
        <v>6.3799717343024434E-2</v>
      </c>
      <c r="F4">
        <f>地区内転居出!F4/地区別人口!P4</f>
        <v>6.5035677879714579E-2</v>
      </c>
      <c r="G4">
        <f>地区内転居出!G4/地区別人口!Q4</f>
        <v>5.9444904722452362E-2</v>
      </c>
      <c r="H4">
        <f>地区内転居出!H4/地区別人口!R4</f>
        <v>6.8269818626452011E-2</v>
      </c>
      <c r="I4">
        <f>地区内転居出!I4/地区別人口!S4</f>
        <v>6.0893383902233457E-2</v>
      </c>
      <c r="J4">
        <f>地区内転居出!J4/地区別人口!T4</f>
        <v>6.1733615221987316E-2</v>
      </c>
      <c r="K4">
        <f>地区内転居出!K4/地区別人口!U4</f>
        <v>6.2682824905975765E-2</v>
      </c>
      <c r="L4">
        <f t="shared" si="0"/>
        <v>6.4610848106819468E-2</v>
      </c>
    </row>
    <row r="5" spans="1:12">
      <c r="A5" t="s">
        <v>4</v>
      </c>
      <c r="B5">
        <f>地区内転居出!B5/地区別人口!L5</f>
        <v>7.3537027446918701E-2</v>
      </c>
      <c r="C5">
        <f>地区内転居出!C5/地区別人口!M5</f>
        <v>6.8440670946365703E-2</v>
      </c>
      <c r="D5">
        <f>地区内転居出!D5/地区別人口!N5</f>
        <v>7.0984777881329605E-2</v>
      </c>
      <c r="E5">
        <f>地区内転居出!E5/地区別人口!O5</f>
        <v>6.7974333559392766E-2</v>
      </c>
      <c r="F5">
        <f>地区内転居出!F5/地区別人口!P5</f>
        <v>6.8861024033437829E-2</v>
      </c>
      <c r="G5">
        <f>地区内転居出!G5/地区別人口!Q5</f>
        <v>6.6294013164768573E-2</v>
      </c>
      <c r="H5">
        <f>地区内転居出!H5/地区別人口!R5</f>
        <v>6.6638482270253124E-2</v>
      </c>
      <c r="I5">
        <f>地区内転居出!I5/地区別人口!S5</f>
        <v>6.5277482458005534E-2</v>
      </c>
      <c r="J5">
        <f>地区内転居出!J5/地区別人口!T5</f>
        <v>6.0778218458570052E-2</v>
      </c>
      <c r="K5">
        <f>地区内転居出!K5/地区別人口!U5</f>
        <v>6.1443766535284272E-2</v>
      </c>
      <c r="L5">
        <f t="shared" si="0"/>
        <v>6.7022979675432609E-2</v>
      </c>
    </row>
    <row r="6" spans="1:12">
      <c r="A6" t="s">
        <v>5</v>
      </c>
      <c r="B6">
        <f>地区内転居出!B6/地区別人口!L6</f>
        <v>6.6378559880611865E-2</v>
      </c>
      <c r="C6">
        <f>地区内転居出!C6/地区別人口!M6</f>
        <v>6.0879018481130608E-2</v>
      </c>
      <c r="D6">
        <f>地区内転居出!D6/地区別人口!N6</f>
        <v>5.9436523041402761E-2</v>
      </c>
      <c r="E6">
        <f>地区内転居出!E6/地区別人口!O6</f>
        <v>5.829330671823342E-2</v>
      </c>
      <c r="F6">
        <f>地区内転居出!F6/地区別人口!P6</f>
        <v>6.0284790448949133E-2</v>
      </c>
      <c r="G6">
        <f>地区内転居出!G6/地区別人口!Q6</f>
        <v>5.9787547394478738E-2</v>
      </c>
      <c r="H6">
        <f>地区内転居出!H6/地区別人口!R6</f>
        <v>5.879587551321027E-2</v>
      </c>
      <c r="I6">
        <f>地区内転居出!I6/地区別人口!S6</f>
        <v>5.7144643471193225E-2</v>
      </c>
      <c r="J6">
        <f>地区内転居出!J6/地区別人口!T6</f>
        <v>5.1715470654769384E-2</v>
      </c>
      <c r="K6">
        <f>地区内転居出!K6/地区別人口!U6</f>
        <v>5.3813077020361706E-2</v>
      </c>
      <c r="L6">
        <f t="shared" si="0"/>
        <v>5.8652881262434106E-2</v>
      </c>
    </row>
    <row r="7" spans="1:12">
      <c r="A7" t="s">
        <v>6</v>
      </c>
      <c r="B7">
        <f>地区内転居出!B7/地区別人口!L7</f>
        <v>6.4971524825539417E-2</v>
      </c>
      <c r="C7">
        <f>地区内転居出!C7/地区別人口!M7</f>
        <v>5.6375514154367284E-2</v>
      </c>
      <c r="D7">
        <f>地区内転居出!D7/地区別人口!N7</f>
        <v>6.1222847948511662E-2</v>
      </c>
      <c r="E7">
        <f>地区内転居出!E7/地区別人口!O7</f>
        <v>7.0408825438027262E-2</v>
      </c>
      <c r="F7">
        <f>地区内転居出!F7/地区別人口!P7</f>
        <v>6.0196362465797522E-2</v>
      </c>
      <c r="G7">
        <f>地区内転居出!G7/地区別人口!Q7</f>
        <v>5.7044287548138638E-2</v>
      </c>
      <c r="H7">
        <f>地区内転居出!H7/地区別人口!R7</f>
        <v>6.0812454390659208E-2</v>
      </c>
      <c r="I7">
        <f>地区内転居出!I7/地区別人口!S7</f>
        <v>5.3189753630282263E-2</v>
      </c>
      <c r="J7">
        <f>地区内転居出!J7/地区別人口!T7</f>
        <v>5.6542284503829233E-2</v>
      </c>
      <c r="K7">
        <f>地区内転居出!K7/地区別人口!U7</f>
        <v>5.4078599735799204E-2</v>
      </c>
      <c r="L7">
        <f t="shared" si="0"/>
        <v>5.9484245464095163E-2</v>
      </c>
    </row>
    <row r="8" spans="1:12">
      <c r="A8" t="s">
        <v>7</v>
      </c>
      <c r="B8">
        <f>地区内転居出!B8/地区別人口!L8</f>
        <v>5.2985934978095457E-2</v>
      </c>
      <c r="C8">
        <f>地区内転居出!C8/地区別人口!M8</f>
        <v>5.2167896678966791E-2</v>
      </c>
      <c r="D8">
        <f>地区内転居出!D8/地区別人口!N8</f>
        <v>5.1826167360147946E-2</v>
      </c>
      <c r="E8">
        <f>地区内転居出!E8/地区別人口!O8</f>
        <v>5.6175115207373269E-2</v>
      </c>
      <c r="F8">
        <f>地区内転居出!F8/地区別人口!P8</f>
        <v>4.9306197964847365E-2</v>
      </c>
      <c r="G8">
        <f>地区内転居出!G8/地区別人口!Q8</f>
        <v>5.221883937632623E-2</v>
      </c>
      <c r="H8">
        <f>地区内転居出!H8/地区別人口!R8</f>
        <v>5.0110436223081173E-2</v>
      </c>
      <c r="I8">
        <f>地区内転居出!I8/地区別人口!S8</f>
        <v>4.9857082610936694E-2</v>
      </c>
      <c r="J8">
        <f>地区内転居出!J8/地区別人口!T8</f>
        <v>4.5014704487240299E-2</v>
      </c>
      <c r="K8">
        <f>地区内転居出!K8/地区別人口!U8</f>
        <v>4.6581011500890238E-2</v>
      </c>
      <c r="L8">
        <f t="shared" si="0"/>
        <v>5.0624338638790546E-2</v>
      </c>
    </row>
    <row r="9" spans="1:12">
      <c r="A9" t="s">
        <v>8</v>
      </c>
      <c r="B9">
        <f>地区内転居出!B9/地区別人口!L9</f>
        <v>6.6566265060240964E-2</v>
      </c>
      <c r="C9">
        <f>地区内転居出!C9/地区別人口!M9</f>
        <v>6.5638233514821537E-2</v>
      </c>
      <c r="D9">
        <f>地区内転居出!D9/地区別人口!N9</f>
        <v>6.1440125228280719E-2</v>
      </c>
      <c r="E9">
        <f>地区内転居出!E9/地区別人口!O9</f>
        <v>6.0375043813529615E-2</v>
      </c>
      <c r="F9">
        <f>地区内転居出!F9/地区別人口!P9</f>
        <v>6.058465071094233E-2</v>
      </c>
      <c r="G9">
        <f>地区内転居出!G9/地区別人口!Q9</f>
        <v>6.4870126996769764E-2</v>
      </c>
      <c r="H9">
        <f>地区内転居出!H9/地区別人口!R9</f>
        <v>6.5363551360256469E-2</v>
      </c>
      <c r="I9">
        <f>地区内転居出!I9/地区別人口!S9</f>
        <v>6.008146639511202E-2</v>
      </c>
      <c r="J9">
        <f>地区内転居出!J9/地区別人口!T9</f>
        <v>5.0938337801608578E-2</v>
      </c>
      <c r="K9">
        <f>地区内転居出!K9/地区別人口!U9</f>
        <v>6.1882078015459287E-2</v>
      </c>
      <c r="L9">
        <f t="shared" si="0"/>
        <v>6.1773987889702134E-2</v>
      </c>
    </row>
    <row r="10" spans="1:12">
      <c r="A10" t="s">
        <v>9</v>
      </c>
      <c r="B10">
        <f>地区内転居出!B10/地区別人口!L10</f>
        <v>5.5154021566884398E-2</v>
      </c>
      <c r="C10">
        <f>地区内転居出!C10/地区別人口!M10</f>
        <v>5.6993222427603206E-2</v>
      </c>
      <c r="D10">
        <f>地区内転居出!D10/地区別人口!N10</f>
        <v>5.2584704743465632E-2</v>
      </c>
      <c r="E10">
        <f>地区内転居出!E10/地区別人口!O10</f>
        <v>5.2716887928372952E-2</v>
      </c>
      <c r="F10">
        <f>地区内転居出!F10/地区別人口!P10</f>
        <v>5.3978576893649578E-2</v>
      </c>
      <c r="G10">
        <f>地区内転居出!G10/地区別人口!Q10</f>
        <v>5.2935514918190568E-2</v>
      </c>
      <c r="H10">
        <f>地区内転居出!H10/地区別人口!R10</f>
        <v>4.8464454243057169E-2</v>
      </c>
      <c r="I10">
        <f>地区内転居出!I10/地区別人口!S10</f>
        <v>4.9344522216636377E-2</v>
      </c>
      <c r="J10">
        <f>地区内転居出!J10/地区別人口!T10</f>
        <v>4.8469879983020103E-2</v>
      </c>
      <c r="K10">
        <f>地区内転居出!K10/地区別人口!U10</f>
        <v>4.5531717857694089E-2</v>
      </c>
      <c r="L10">
        <f t="shared" si="0"/>
        <v>5.161735027785741E-2</v>
      </c>
    </row>
    <row r="11" spans="1:12">
      <c r="A11" t="s">
        <v>10</v>
      </c>
      <c r="B11">
        <f>地区内転居出!B11/地区別人口!L11</f>
        <v>5.5167857290333237E-2</v>
      </c>
      <c r="C11">
        <f>地区内転居出!C11/地区別人口!M11</f>
        <v>5.4478262674915914E-2</v>
      </c>
      <c r="D11">
        <f>地区内転居出!D11/地区別人口!N11</f>
        <v>4.8974658219406469E-2</v>
      </c>
      <c r="E11">
        <f>地区内転居出!E11/地区別人口!O11</f>
        <v>5.2858277924141682E-2</v>
      </c>
      <c r="F11">
        <f>地区内転居出!F11/地区別人口!P11</f>
        <v>4.9692340335242946E-2</v>
      </c>
      <c r="G11">
        <f>地区内転居出!G11/地区別人口!Q11</f>
        <v>4.6262437282081813E-2</v>
      </c>
      <c r="H11">
        <f>地区内転居出!H11/地区別人口!R11</f>
        <v>5.1243632004794724E-2</v>
      </c>
      <c r="I11">
        <f>地区内転居出!I11/地区別人口!S11</f>
        <v>5.1807127174463771E-2</v>
      </c>
      <c r="J11">
        <f>地区内転居出!J11/地区別人口!T11</f>
        <v>4.5413879776764796E-2</v>
      </c>
      <c r="K11">
        <f>地区内転居出!K11/地区別人口!U11</f>
        <v>4.8461341744096838E-2</v>
      </c>
      <c r="L11">
        <f t="shared" si="0"/>
        <v>5.043598144262422E-2</v>
      </c>
    </row>
    <row r="12" spans="1:12">
      <c r="A12" t="s">
        <v>11</v>
      </c>
      <c r="B12">
        <f>地区内転居出!B12/地区別人口!L12</f>
        <v>5.2936587540398976E-2</v>
      </c>
      <c r="C12">
        <f>地区内転居出!C12/地区別人口!M12</f>
        <v>5.118023384072358E-2</v>
      </c>
      <c r="D12">
        <f>地区内転居出!D12/地区別人口!N12</f>
        <v>4.7369961226132122E-2</v>
      </c>
      <c r="E12">
        <f>地区内転居出!E12/地区別人口!O12</f>
        <v>4.9789366647298085E-2</v>
      </c>
      <c r="F12">
        <f>地区内転居出!F12/地区別人口!P12</f>
        <v>4.9224027752419207E-2</v>
      </c>
      <c r="G12">
        <f>地区内転居出!G12/地区別人口!Q12</f>
        <v>5.1207022677395755E-2</v>
      </c>
      <c r="H12">
        <f>地区内転居出!H12/地区別人口!R12</f>
        <v>4.9504950495049507E-2</v>
      </c>
      <c r="I12">
        <f>地区内転居出!I12/地区別人口!S12</f>
        <v>4.1880404514143342E-2</v>
      </c>
      <c r="J12">
        <f>地区内転居出!J12/地区別人口!T12</f>
        <v>4.4080279874792856E-2</v>
      </c>
      <c r="K12">
        <f>地区内転居出!K12/地区別人口!U12</f>
        <v>4.4381876782869631E-2</v>
      </c>
      <c r="L12">
        <f t="shared" si="0"/>
        <v>4.8155471135122301E-2</v>
      </c>
    </row>
    <row r="13" spans="1:12">
      <c r="A13" t="s">
        <v>12</v>
      </c>
      <c r="B13">
        <f>地区内転居出!B13/地区別人口!L13</f>
        <v>5.0184233743318284E-2</v>
      </c>
      <c r="C13">
        <f>地区内転居出!C13/地区別人口!M13</f>
        <v>4.3122754023227954E-2</v>
      </c>
      <c r="D13">
        <f>地区内転居出!D13/地区別人口!N13</f>
        <v>4.3512083808733532E-2</v>
      </c>
      <c r="E13">
        <f>地区内転居出!E13/地区別人口!O13</f>
        <v>4.3683283241786712E-2</v>
      </c>
      <c r="F13">
        <f>地区内転居出!F13/地区別人口!P13</f>
        <v>4.6617396247868106E-2</v>
      </c>
      <c r="G13">
        <f>地区内転居出!G13/地区別人口!Q13</f>
        <v>4.7584415584415583E-2</v>
      </c>
      <c r="H13">
        <f>地区内転居出!H13/地区別人口!R13</f>
        <v>4.1553842949385543E-2</v>
      </c>
      <c r="I13">
        <f>地区内転居出!I13/地区別人口!S13</f>
        <v>3.8562023199916397E-2</v>
      </c>
      <c r="J13">
        <f>地区内転居出!J13/地区別人口!T13</f>
        <v>4.1146409567462197E-2</v>
      </c>
      <c r="K13">
        <f>地区内転居出!K13/地区別人口!U13</f>
        <v>3.8746074831018149E-2</v>
      </c>
      <c r="L13">
        <f t="shared" si="0"/>
        <v>4.3471251719713243E-2</v>
      </c>
    </row>
    <row r="14" spans="1:12">
      <c r="A14" t="s">
        <v>13</v>
      </c>
      <c r="B14">
        <f>地区内転居出!B14/地区別人口!L14</f>
        <v>4.2188028407169426E-2</v>
      </c>
      <c r="C14">
        <f>地区内転居出!C14/地区別人口!M14</f>
        <v>3.8228359717076457E-2</v>
      </c>
      <c r="D14">
        <f>地区内転居出!D14/地区別人口!N14</f>
        <v>3.4845826021559285E-2</v>
      </c>
      <c r="E14">
        <f>地区内転居出!E14/地区別人口!O14</f>
        <v>3.7123162528029233E-2</v>
      </c>
      <c r="F14">
        <f>地区内転居出!F14/地区別人口!P14</f>
        <v>4.3442555637677592E-2</v>
      </c>
      <c r="G14">
        <f>地区内転居出!G14/地区別人口!Q14</f>
        <v>4.8997955010224949E-2</v>
      </c>
      <c r="H14">
        <f>地区内転居出!H14/地区別人口!R14</f>
        <v>3.5646505487251422E-2</v>
      </c>
      <c r="I14">
        <f>地区内転居出!I14/地区別人口!S14</f>
        <v>2.6625746516257466E-2</v>
      </c>
      <c r="J14">
        <f>地区内転居出!J14/地区別人口!T14</f>
        <v>2.7896995708154508E-2</v>
      </c>
      <c r="K14">
        <f>地区内転居出!K14/地区別人口!U14</f>
        <v>2.8310502283105023E-2</v>
      </c>
      <c r="L14">
        <f t="shared" si="0"/>
        <v>3.6330563731650535E-2</v>
      </c>
    </row>
    <row r="15" spans="1:12">
      <c r="A15" t="s">
        <v>14</v>
      </c>
      <c r="B15">
        <f>地区内転居出!B15/地区別人口!L15</f>
        <v>4.2292041891801746E-2</v>
      </c>
      <c r="C15">
        <f>地区内転居出!C15/地区別人口!M15</f>
        <v>3.9475444935099691E-2</v>
      </c>
      <c r="D15">
        <f>地区内転居出!D15/地区別人口!N15</f>
        <v>3.6119503188989592E-2</v>
      </c>
      <c r="E15">
        <f>地区内転居出!E15/地区別人口!O15</f>
        <v>3.9252842447211694E-2</v>
      </c>
      <c r="F15">
        <f>地区内転居出!F15/地区別人口!P15</f>
        <v>3.4602076124567477E-2</v>
      </c>
      <c r="G15">
        <f>地区内転居出!G15/地区別人口!Q15</f>
        <v>3.5986394557823126E-2</v>
      </c>
      <c r="H15">
        <f>地区内転居出!H15/地区別人口!R15</f>
        <v>3.5328888583407797E-2</v>
      </c>
      <c r="I15">
        <f>地区内転居出!I15/地区別人口!S15</f>
        <v>3.4420289855072464E-2</v>
      </c>
      <c r="J15">
        <f>地区内転居出!J15/地区別人口!T15</f>
        <v>3.6676016830294533E-2</v>
      </c>
      <c r="K15">
        <f>地区内転居出!K15/地区別人口!U15</f>
        <v>3.2228163992869874E-2</v>
      </c>
      <c r="L15">
        <f t="shared" si="0"/>
        <v>3.6638166240713796E-2</v>
      </c>
    </row>
    <row r="16" spans="1:12">
      <c r="A16" t="s">
        <v>15</v>
      </c>
      <c r="B16">
        <f>地区内転居出!B16/地区別人口!L16</f>
        <v>4.8387096774193547E-2</v>
      </c>
      <c r="C16">
        <f>地区内転居出!C16/地区別人口!M16</f>
        <v>4.3689320388349516E-2</v>
      </c>
      <c r="D16">
        <f>地区内転居出!D16/地区別人口!N16</f>
        <v>4.693954187007135E-2</v>
      </c>
      <c r="E16">
        <f>地区内転居出!E16/地区別人口!O16</f>
        <v>5.1767432876183114E-2</v>
      </c>
      <c r="F16">
        <f>地区内転居出!F16/地区別人口!P16</f>
        <v>4.6040881127207778E-2</v>
      </c>
      <c r="G16">
        <f>地区内転居出!G16/地区別人口!Q16</f>
        <v>4.766734279918864E-2</v>
      </c>
      <c r="H16">
        <f>地区内転居出!H16/地区別人口!R16</f>
        <v>4.7853768741014581E-2</v>
      </c>
      <c r="I16">
        <f>地区内転居出!I16/地区別人口!S16</f>
        <v>4.0549102428722283E-2</v>
      </c>
      <c r="J16">
        <f>地区内転居出!J16/地区別人口!T16</f>
        <v>3.7395228884590584E-2</v>
      </c>
      <c r="K16">
        <f>地区内転居出!K16/地区別人口!U16</f>
        <v>3.5690825487190714E-2</v>
      </c>
      <c r="L16">
        <f t="shared" si="0"/>
        <v>4.4598054137671213E-2</v>
      </c>
    </row>
    <row r="17" spans="1:12">
      <c r="A17" t="s">
        <v>16</v>
      </c>
      <c r="B17">
        <f>地区内転居出!B17/地区別人口!L17</f>
        <v>3.2199663778611144E-2</v>
      </c>
      <c r="C17">
        <f>地区内転居出!C17/地区別人口!M17</f>
        <v>3.1339775398276315E-2</v>
      </c>
      <c r="D17">
        <f>地区内転居出!D17/地区別人口!N17</f>
        <v>3.4976988823142673E-2</v>
      </c>
      <c r="E17">
        <f>地区内転居出!E17/地区別人口!O17</f>
        <v>3.4265827867755318E-2</v>
      </c>
      <c r="F17">
        <f>地区内転居出!F17/地区別人口!P17</f>
        <v>3.8278163737910369E-2</v>
      </c>
      <c r="G17">
        <f>地区内転居出!G17/地区別人口!Q17</f>
        <v>3.2743486136268637E-2</v>
      </c>
      <c r="H17">
        <f>地区内転居出!H17/地区別人口!R17</f>
        <v>3.5593697242543611E-2</v>
      </c>
      <c r="I17">
        <f>地区内転居出!I17/地区別人口!S17</f>
        <v>2.75832499642704E-2</v>
      </c>
      <c r="J17">
        <f>地区内転居出!J17/地区別人口!T17</f>
        <v>2.9216083309227654E-2</v>
      </c>
      <c r="K17">
        <f>地区内転居出!K17/地区別人口!U17</f>
        <v>2.6639040994524198E-2</v>
      </c>
      <c r="L17">
        <f t="shared" si="0"/>
        <v>3.2283597725253028E-2</v>
      </c>
    </row>
    <row r="18" spans="1:12">
      <c r="A18" t="s">
        <v>17</v>
      </c>
      <c r="B18">
        <f>地区内転居出!B18/地区別人口!L18</f>
        <v>5.7479224376731301E-2</v>
      </c>
      <c r="C18">
        <f>地区内転居出!C18/地区別人口!M18</f>
        <v>5.7823465454186027E-2</v>
      </c>
      <c r="D18">
        <f>地区内転居出!D18/地区別人口!N18</f>
        <v>5.4604807597190622E-2</v>
      </c>
      <c r="E18">
        <f>地区内転居出!E18/地区別人口!O18</f>
        <v>5.2894112998814698E-2</v>
      </c>
      <c r="F18">
        <f>地区内転居出!F18/地区別人口!P18</f>
        <v>5.6923076923076923E-2</v>
      </c>
      <c r="G18">
        <f>地区内転居出!G18/地区別人口!Q18</f>
        <v>5.108728030980042E-2</v>
      </c>
      <c r="H18">
        <f>地区内転居出!H18/地区別人口!R18</f>
        <v>5.4667662434652729E-2</v>
      </c>
      <c r="I18">
        <f>地区内転居出!I18/地区別人口!S18</f>
        <v>4.6962151394422308E-2</v>
      </c>
      <c r="J18">
        <f>地区内転居出!J18/地区別人口!T18</f>
        <v>4.5879821884224743E-2</v>
      </c>
      <c r="K18">
        <f>地区内転居出!K18/地区別人口!U18</f>
        <v>4.546366920915295E-2</v>
      </c>
      <c r="L18">
        <f t="shared" si="0"/>
        <v>5.2378527258225269E-2</v>
      </c>
    </row>
    <row r="19" spans="1:12">
      <c r="A19" t="s">
        <v>18</v>
      </c>
      <c r="B19">
        <f>地区内転居出!B19/地区別人口!L19</f>
        <v>6.3361131254532271E-2</v>
      </c>
      <c r="C19">
        <f>地区内転居出!C19/地区別人口!M19</f>
        <v>5.6622667273554847E-2</v>
      </c>
      <c r="D19">
        <f>地区内転居出!D19/地区別人口!N19</f>
        <v>6.1754450357863831E-2</v>
      </c>
      <c r="E19">
        <f>地区内転居出!E19/地区別人口!O19</f>
        <v>5.3356759755872014E-2</v>
      </c>
      <c r="F19">
        <f>地区内転居出!F19/地区別人口!P19</f>
        <v>6.2424298891269915E-2</v>
      </c>
      <c r="G19">
        <f>地区内転居出!G19/地区別人口!Q19</f>
        <v>5.001905487804878E-2</v>
      </c>
      <c r="H19">
        <f>地区内転居出!H19/地区別人口!R19</f>
        <v>5.636381154253782E-2</v>
      </c>
      <c r="I19">
        <f>地区内転居出!I19/地区別人口!S19</f>
        <v>4.7539861097525185E-2</v>
      </c>
      <c r="J19">
        <f>地区内転居出!J19/地区別人口!T19</f>
        <v>4.8785266457680249E-2</v>
      </c>
      <c r="K19">
        <f>地区内転居出!K19/地区別人口!U19</f>
        <v>5.3013725880246665E-2</v>
      </c>
      <c r="L19">
        <f t="shared" si="0"/>
        <v>5.532410273891316E-2</v>
      </c>
    </row>
    <row r="20" spans="1:12">
      <c r="A20" t="s">
        <v>19</v>
      </c>
      <c r="B20">
        <f>地区内転居出!B20/地区別人口!L20</f>
        <v>3.9292573623559542E-2</v>
      </c>
      <c r="C20">
        <f>地区内転居出!C20/地区別人口!M20</f>
        <v>3.9452495974235106E-2</v>
      </c>
      <c r="D20">
        <f>地区内転居出!D20/地区別人口!N20</f>
        <v>3.8293039104332308E-2</v>
      </c>
      <c r="E20">
        <f>地区内転居出!E20/地区別人口!O20</f>
        <v>4.0510859838932725E-2</v>
      </c>
      <c r="F20">
        <f>地区内転居出!F20/地区別人口!P20</f>
        <v>4.0750323415265202E-2</v>
      </c>
      <c r="G20">
        <f>地区内転居出!G20/地区別人口!Q20</f>
        <v>4.543968617195162E-2</v>
      </c>
      <c r="H20">
        <f>地区内転居出!H20/地区別人口!R20</f>
        <v>3.6239625277344069E-2</v>
      </c>
      <c r="I20">
        <f>地区内転居出!I20/地区別人口!S20</f>
        <v>3.8880633977216444E-2</v>
      </c>
      <c r="J20">
        <f>地区内転居出!J20/地区別人口!T20</f>
        <v>3.5717259179085838E-2</v>
      </c>
      <c r="K20">
        <f>地区内転居出!K20/地区別人口!U20</f>
        <v>3.0968610620213752E-2</v>
      </c>
      <c r="L20">
        <f t="shared" si="0"/>
        <v>3.8554510718213669E-2</v>
      </c>
    </row>
    <row r="21" spans="1:12">
      <c r="A21" t="s">
        <v>20</v>
      </c>
      <c r="B21">
        <f>地区内転居出!B21/地区別人口!L21</f>
        <v>3.8863976083707022E-2</v>
      </c>
      <c r="C21">
        <f>地区内転居出!C21/地区別人口!M21</f>
        <v>3.37843813566817E-2</v>
      </c>
      <c r="D21">
        <f>地区内転居出!D21/地区別人口!N21</f>
        <v>4.2691496837666904E-2</v>
      </c>
      <c r="E21">
        <f>地区内転居出!E21/地区別人口!O21</f>
        <v>3.9505956552207427E-2</v>
      </c>
      <c r="F21">
        <f>地区内転居出!F21/地区別人口!P21</f>
        <v>4.0304915447296939E-2</v>
      </c>
      <c r="G21">
        <f>地区内転居出!G21/地区別人口!Q21</f>
        <v>3.8353519396173423E-2</v>
      </c>
      <c r="H21">
        <f>地区内転居出!H21/地区別人口!R21</f>
        <v>3.7794026957977268E-2</v>
      </c>
      <c r="I21">
        <f>地区内転居出!I21/地区別人口!S21</f>
        <v>4.2517457791920801E-2</v>
      </c>
      <c r="J21">
        <f>地区内転居出!J21/地区別人口!T21</f>
        <v>3.6074270557029178E-2</v>
      </c>
      <c r="K21">
        <f>地区内転居出!K21/地区別人口!U21</f>
        <v>3.3923693717508148E-2</v>
      </c>
      <c r="L21">
        <f t="shared" si="0"/>
        <v>3.8381369469816878E-2</v>
      </c>
    </row>
    <row r="22" spans="1:12">
      <c r="A22" t="s">
        <v>21</v>
      </c>
      <c r="B22">
        <f>地区内転居出!B22/地区別人口!L22</f>
        <v>4.9488198967938414E-2</v>
      </c>
      <c r="C22">
        <f>地区内転居出!C22/地区別人口!M22</f>
        <v>4.7033041132838842E-2</v>
      </c>
      <c r="D22">
        <f>地区内転居出!D22/地区別人口!N22</f>
        <v>4.6585160202360879E-2</v>
      </c>
      <c r="E22">
        <f>地区内転居出!E22/地区別人口!O22</f>
        <v>4.7290764639118923E-2</v>
      </c>
      <c r="F22">
        <f>地区内転居出!F22/地区別人口!P22</f>
        <v>5.0197928072096352E-2</v>
      </c>
      <c r="G22">
        <f>地区内転居出!G22/地区別人口!Q22</f>
        <v>4.3432603856008736E-2</v>
      </c>
      <c r="H22">
        <f>地区内転居出!H22/地区別人口!R22</f>
        <v>4.8257148820705489E-2</v>
      </c>
      <c r="I22">
        <f>地区内転居出!I22/地区別人口!S22</f>
        <v>4.1978196399482061E-2</v>
      </c>
      <c r="J22">
        <f>地区内転居出!J22/地区別人口!T22</f>
        <v>4.0914256850612452E-2</v>
      </c>
      <c r="K22">
        <f>地区内転居出!K22/地区別人口!U22</f>
        <v>3.910991233985165E-2</v>
      </c>
      <c r="L22">
        <f t="shared" si="0"/>
        <v>4.5428721128101382E-2</v>
      </c>
    </row>
    <row r="23" spans="1:12">
      <c r="A23" t="s">
        <v>22</v>
      </c>
      <c r="B23">
        <f>地区内転居出!B23/地区別人口!L23</f>
        <v>1.2738853503184714E-2</v>
      </c>
      <c r="C23">
        <f>地区内転居出!C23/地区別人口!M23</f>
        <v>1.9633507853403141E-2</v>
      </c>
      <c r="D23">
        <f>地区内転居出!D23/地区別人口!N23</f>
        <v>3.3738191632928474E-2</v>
      </c>
      <c r="E23">
        <f>地区内転居出!E23/地区別人口!O23</f>
        <v>1.8207282913165267E-2</v>
      </c>
      <c r="F23">
        <f>地区内転居出!F23/地区別人口!P23</f>
        <v>2.1520803443328552E-2</v>
      </c>
      <c r="G23">
        <f>地区内転居出!G23/地区別人口!Q23</f>
        <v>2.8315946348733235E-2</v>
      </c>
      <c r="H23">
        <f>地区内転居出!H23/地区別人口!R23</f>
        <v>1.5290519877675841E-2</v>
      </c>
      <c r="I23">
        <f>地区内転居出!I23/地区別人口!S23</f>
        <v>2.8346456692913385E-2</v>
      </c>
      <c r="J23">
        <f>地区内転居出!J23/地区別人口!T23</f>
        <v>4.784688995215311E-2</v>
      </c>
      <c r="K23">
        <f>地区内転居出!K23/地区別人口!U23</f>
        <v>2.9950083194675542E-2</v>
      </c>
      <c r="L23">
        <f t="shared" si="0"/>
        <v>2.555885354121613E-2</v>
      </c>
    </row>
    <row r="24" spans="1:12">
      <c r="A24" t="s">
        <v>23</v>
      </c>
      <c r="B24">
        <f>地区内転居出!B24/地区別人口!L24</f>
        <v>4.4487427466150871E-2</v>
      </c>
      <c r="C24">
        <f>地区内転居出!C24/地区別人口!M24</f>
        <v>1.1764705882352941E-2</v>
      </c>
      <c r="D24">
        <f>地区内転居出!D24/地区別人口!N24</f>
        <v>3.1872509960159362E-2</v>
      </c>
      <c r="E24">
        <f>地区内転居出!E24/地区別人口!O24</f>
        <v>1.0330578512396695E-2</v>
      </c>
      <c r="F24">
        <f>地区内転居出!F24/地区別人口!P24</f>
        <v>1.7241379310344827E-2</v>
      </c>
      <c r="G24">
        <f>地区内転居出!G24/地区別人口!Q24</f>
        <v>2.0089285714285716E-2</v>
      </c>
      <c r="H24">
        <f>地区内転居出!H24/地区別人口!R24</f>
        <v>2.2883295194508008E-2</v>
      </c>
      <c r="I24">
        <f>地区内転居出!I24/地区別人口!S24</f>
        <v>3.5294117647058823E-2</v>
      </c>
      <c r="J24">
        <f>地区内転居出!J24/地区別人口!T24</f>
        <v>3.5087719298245612E-2</v>
      </c>
      <c r="K24">
        <f>地区内転居出!K24/地区別人口!U24</f>
        <v>5.8375634517766499E-2</v>
      </c>
      <c r="L24">
        <f t="shared" si="0"/>
        <v>2.8742665350326942E-2</v>
      </c>
    </row>
    <row r="25" spans="1:12">
      <c r="A25" t="s">
        <v>24</v>
      </c>
      <c r="B25">
        <f>地区内転居出!B25/地区別人口!L25</f>
        <v>5.4778363856763754E-2</v>
      </c>
      <c r="C25">
        <f>地区内転居出!C25/地区別人口!M25</f>
        <v>5.3875360041895783E-2</v>
      </c>
      <c r="D25">
        <f>地区内転居出!D25/地区別人口!N25</f>
        <v>5.1636411384302271E-2</v>
      </c>
      <c r="E25">
        <f>地区内転居出!E25/地区別人口!O25</f>
        <v>5.5112708265272786E-2</v>
      </c>
      <c r="F25">
        <f>地区内転居出!F25/地区別人口!P25</f>
        <v>5.0900163666121115E-2</v>
      </c>
      <c r="G25">
        <f>地区内転居出!G25/地区別人口!Q25</f>
        <v>5.052459016393443E-2</v>
      </c>
      <c r="H25">
        <f>地区内転居出!H25/地区別人口!R25</f>
        <v>4.9661399548532728E-2</v>
      </c>
      <c r="I25">
        <f>地区内転居出!I25/地区別人口!S25</f>
        <v>4.7078562968811688E-2</v>
      </c>
      <c r="J25">
        <f>地区内転居出!J25/地区別人口!T25</f>
        <v>4.4100158562367868E-2</v>
      </c>
      <c r="K25">
        <f>地区内転居出!K25/地区別人口!U25</f>
        <v>4.429876837504966E-2</v>
      </c>
      <c r="L25">
        <f t="shared" si="0"/>
        <v>5.0196648683305214E-2</v>
      </c>
    </row>
    <row r="26" spans="1:12">
      <c r="A26" t="s">
        <v>25</v>
      </c>
      <c r="B26">
        <f>地区内転居出!B26/地区別人口!L26</f>
        <v>3.2128514056224897E-2</v>
      </c>
      <c r="C26">
        <f>地区内転居出!C26/地区別人口!M26</f>
        <v>3.1052191568135674E-2</v>
      </c>
      <c r="D26">
        <f>地区内転居出!D26/地区別人口!N26</f>
        <v>3.0317555422408628E-2</v>
      </c>
      <c r="E26">
        <f>地区内転居出!E26/地区別人口!O26</f>
        <v>3.0932817786370227E-2</v>
      </c>
      <c r="F26">
        <f>地区内転居出!F26/地区別人口!P26</f>
        <v>3.1759552202482354E-2</v>
      </c>
      <c r="G26">
        <f>地区内転居出!G26/地区別人口!Q26</f>
        <v>2.77099609375E-2</v>
      </c>
      <c r="H26">
        <f>地区内転居出!H26/地区別人口!R26</f>
        <v>2.7582809998768623E-2</v>
      </c>
      <c r="I26">
        <f>地区内転居出!I26/地区別人口!S26</f>
        <v>3.0107793334159336E-2</v>
      </c>
      <c r="J26">
        <f>地区内転居出!J26/地区別人口!T26</f>
        <v>2.7698066126013724E-2</v>
      </c>
      <c r="K26">
        <f>地区内転居出!K26/地区別人口!U26</f>
        <v>2.9567854435178165E-2</v>
      </c>
      <c r="L26">
        <f t="shared" si="0"/>
        <v>2.9885711586724168E-2</v>
      </c>
    </row>
    <row r="27" spans="1:12">
      <c r="A27" t="s">
        <v>26</v>
      </c>
      <c r="B27">
        <f>地区内転居出!B27/地区別人口!L27</f>
        <v>4.2134831460674156E-2</v>
      </c>
      <c r="C27">
        <f>地区内転居出!C27/地区別人口!M27</f>
        <v>2.3880597014925373E-2</v>
      </c>
      <c r="D27">
        <f>地区内転居出!D27/地区別人口!N27</f>
        <v>6.2111801242236021E-3</v>
      </c>
      <c r="E27">
        <f>地区内転居出!E27/地区別人口!O27</f>
        <v>3.7151702786377708E-2</v>
      </c>
      <c r="F27">
        <f>地区内転居出!F27/地区別人口!P27</f>
        <v>2.6143790849673203E-2</v>
      </c>
      <c r="G27">
        <f>地区内転居出!G27/地区別人口!Q27</f>
        <v>1.0135135135135136E-2</v>
      </c>
      <c r="H27">
        <f>地区内転居出!H27/地区別人口!R27</f>
        <v>4.2857142857142858E-2</v>
      </c>
      <c r="I27">
        <f>地区内転居出!I27/地区別人口!S27</f>
        <v>2.2900763358778626E-2</v>
      </c>
      <c r="J27">
        <f>地区内転居出!J27/地区別人口!T27</f>
        <v>1.6129032258064516E-2</v>
      </c>
      <c r="K27">
        <f>地区内転居出!K27/地区別人口!U27</f>
        <v>1.6877637130801686E-2</v>
      </c>
      <c r="L27">
        <f t="shared" si="0"/>
        <v>2.4442181297579687E-2</v>
      </c>
    </row>
    <row r="28" spans="1:12">
      <c r="A28" t="s">
        <v>27</v>
      </c>
      <c r="B28">
        <f>地区内転居出!B28/地区別人口!L28</f>
        <v>2.1812893843916627E-2</v>
      </c>
      <c r="C28">
        <f>地区内転居出!C28/地区別人口!M28</f>
        <v>3.1447534766118834E-2</v>
      </c>
      <c r="D28">
        <f>地区内転居出!D28/地区別人口!N28</f>
        <v>2.759381898454746E-2</v>
      </c>
      <c r="E28">
        <f>地区内転居出!E28/地区別人口!O28</f>
        <v>2.9531888155827836E-2</v>
      </c>
      <c r="F28">
        <f>地区内転居出!F28/地区別人口!P28</f>
        <v>2.2805373320837239E-2</v>
      </c>
      <c r="G28">
        <f>地区内転居出!G28/地区別人口!Q28</f>
        <v>2.0417705735660849E-2</v>
      </c>
      <c r="H28">
        <f>地区内転居出!H28/地区別人口!R28</f>
        <v>1.8918073796122578E-2</v>
      </c>
      <c r="I28">
        <f>地区内転居出!I28/地区別人口!S28</f>
        <v>2.1343873517786563E-2</v>
      </c>
      <c r="J28">
        <f>地区内転居出!J28/地区別人口!T28</f>
        <v>1.912568306010929E-2</v>
      </c>
      <c r="K28">
        <f>地区内転居出!K28/地区別人口!U28</f>
        <v>1.7173699705593719E-2</v>
      </c>
      <c r="L28">
        <f t="shared" si="0"/>
        <v>2.3017054488652093E-2</v>
      </c>
    </row>
    <row r="29" spans="1:12">
      <c r="A29" t="s">
        <v>28</v>
      </c>
      <c r="B29">
        <f>地区内転居出!B29/地区別人口!L29</f>
        <v>3.6429872495446269E-2</v>
      </c>
      <c r="C29">
        <f>地区内転居出!C29/地区別人口!M29</f>
        <v>4.3893129770992363E-2</v>
      </c>
      <c r="D29">
        <f>地区内転居出!D29/地区別人口!N29</f>
        <v>1.5810276679841896E-2</v>
      </c>
      <c r="E29">
        <f>地区内転居出!E29/地区別人口!O29</f>
        <v>1.8072289156626505E-2</v>
      </c>
      <c r="F29">
        <f>地区内転居出!F29/地区別人口!P29</f>
        <v>2.3904382470119521E-2</v>
      </c>
      <c r="G29">
        <f>地区内転居出!G29/地区別人口!Q29</f>
        <v>5.7851239669421489E-2</v>
      </c>
      <c r="H29">
        <f>地区内転居出!H29/地区別人口!R29</f>
        <v>2.3809523809523808E-2</v>
      </c>
      <c r="I29">
        <f>地区内転居出!I29/地区別人口!S29</f>
        <v>2.4553571428571428E-2</v>
      </c>
      <c r="J29">
        <f>地区内転居出!J29/地区別人口!T29</f>
        <v>1.834862385321101E-2</v>
      </c>
      <c r="K29">
        <f>地区内転居出!K29/地区別人口!U29</f>
        <v>2.358490566037736E-2</v>
      </c>
      <c r="L29">
        <f t="shared" si="0"/>
        <v>2.8625781499413167E-2</v>
      </c>
    </row>
    <row r="30" spans="1:12">
      <c r="A30" t="s">
        <v>29</v>
      </c>
      <c r="B30">
        <f>地区内転居出!B30/地区別人口!L30</f>
        <v>3.2879818594104306E-2</v>
      </c>
      <c r="C30">
        <f>地区内転居出!C30/地区別人口!M30</f>
        <v>2.9955747191648702E-2</v>
      </c>
      <c r="D30">
        <f>地区内転居出!D30/地区別人口!N30</f>
        <v>2.9952348536419333E-2</v>
      </c>
      <c r="E30">
        <f>地区内転居出!E30/地区別人口!O30</f>
        <v>3.3686127233412994E-2</v>
      </c>
      <c r="F30">
        <f>地区内転居出!F30/地区別人口!P30</f>
        <v>2.7496712970902646E-2</v>
      </c>
      <c r="G30">
        <f>地区内転居出!G30/地区別人口!Q30</f>
        <v>2.6803063207223681E-2</v>
      </c>
      <c r="H30">
        <f>地区内転居出!H30/地区別人口!R30</f>
        <v>2.8311022500712046E-2</v>
      </c>
      <c r="I30">
        <f>地区内転居出!I30/地区別人口!S30</f>
        <v>2.7464950586072168E-2</v>
      </c>
      <c r="J30">
        <f>地区内転居出!J30/地区別人口!T30</f>
        <v>2.7150103758358312E-2</v>
      </c>
      <c r="K30">
        <f>地区内転居出!K30/地区別人口!U30</f>
        <v>2.4704244954766877E-2</v>
      </c>
      <c r="L30">
        <f t="shared" si="0"/>
        <v>2.8840413953362103E-2</v>
      </c>
    </row>
    <row r="31" spans="1:12">
      <c r="A31" t="s">
        <v>30</v>
      </c>
      <c r="B31">
        <f>地区内転居出!B31/地区別人口!L31</f>
        <v>3.9576480263157895E-2</v>
      </c>
      <c r="C31">
        <f>地区内転居出!C31/地区別人口!M31</f>
        <v>4.3155834792460601E-2</v>
      </c>
      <c r="D31">
        <f>地区内転居出!D31/地区別人口!N31</f>
        <v>3.6921151439299124E-2</v>
      </c>
      <c r="E31">
        <f>地区内転居出!E31/地区別人口!O31</f>
        <v>3.3287972364702191E-2</v>
      </c>
      <c r="F31">
        <f>地区内転居出!F31/地区別人口!P31</f>
        <v>3.7962670041126224E-2</v>
      </c>
      <c r="G31">
        <f>地区内転居出!G31/地区別人口!Q31</f>
        <v>4.5275799766181318E-2</v>
      </c>
      <c r="H31">
        <f>地区内転居出!H31/地区別人口!R31</f>
        <v>2.9927871676176124E-2</v>
      </c>
      <c r="I31">
        <f>地区内転居出!I31/地区別人口!S31</f>
        <v>3.7505357908272613E-2</v>
      </c>
      <c r="J31">
        <f>地区内転居出!J31/地区別人口!T31</f>
        <v>3.2025016174250596E-2</v>
      </c>
      <c r="K31">
        <f>地区内転居出!K31/地区別人口!U31</f>
        <v>2.8081968990567061E-2</v>
      </c>
      <c r="L31">
        <f t="shared" si="0"/>
        <v>3.6372012341619367E-2</v>
      </c>
    </row>
    <row r="32" spans="1:12">
      <c r="A32" t="s">
        <v>31</v>
      </c>
      <c r="B32">
        <f>地区内転居出!B32/地区別人口!L32</f>
        <v>5.8153872139177436E-2</v>
      </c>
      <c r="C32">
        <f>地区内転居出!C32/地区別人口!M32</f>
        <v>5.4505887513073989E-2</v>
      </c>
      <c r="D32">
        <f>地区内転居出!D32/地区別人口!N32</f>
        <v>5.842866756393001E-2</v>
      </c>
      <c r="E32">
        <f>地区内転居出!E32/地区別人口!O32</f>
        <v>5.6239252840621735E-2</v>
      </c>
      <c r="F32">
        <f>地区内転居出!F32/地区別人口!P32</f>
        <v>5.90526617540428E-2</v>
      </c>
      <c r="G32">
        <f>地区内転居出!G32/地区別人口!Q32</f>
        <v>5.5401195588111476E-2</v>
      </c>
      <c r="H32">
        <f>地区内転居出!H32/地区別人口!R32</f>
        <v>5.1386197016937724E-2</v>
      </c>
      <c r="I32">
        <f>地区内転居出!I32/地区別人口!S32</f>
        <v>4.9541872669287751E-2</v>
      </c>
      <c r="J32">
        <f>地区内転居出!J32/地区別人口!T32</f>
        <v>4.8112647383153788E-2</v>
      </c>
      <c r="K32">
        <f>地区内転居出!K32/地区別人口!U32</f>
        <v>4.5048590199835752E-2</v>
      </c>
      <c r="L32">
        <f t="shared" si="0"/>
        <v>5.3587084466817245E-2</v>
      </c>
    </row>
    <row r="33" spans="1:12">
      <c r="A33" t="s">
        <v>32</v>
      </c>
      <c r="B33">
        <f>地区内転居出!B33/地区別人口!L33</f>
        <v>2.2063893357848769E-2</v>
      </c>
      <c r="C33">
        <f>地区内転居出!C33/地区別人口!M33</f>
        <v>2.6229890417346701E-2</v>
      </c>
      <c r="D33">
        <f>地区内転居出!D33/地区別人口!N33</f>
        <v>2.2754207158094335E-2</v>
      </c>
      <c r="E33">
        <f>地区内転居出!E33/地区別人口!O33</f>
        <v>2.4910179640718563E-2</v>
      </c>
      <c r="F33">
        <f>地区内転居出!F33/地区別人口!P33</f>
        <v>2.4463364911859936E-2</v>
      </c>
      <c r="G33">
        <f>地区内転居出!G33/地区別人口!Q33</f>
        <v>2.9376354442571636E-2</v>
      </c>
      <c r="H33">
        <f>地区内転居出!H33/地区別人口!R33</f>
        <v>2.4137510666829207E-2</v>
      </c>
      <c r="I33">
        <f>地区内転居出!I33/地区別人口!S33</f>
        <v>2.2434718646561234E-2</v>
      </c>
      <c r="J33">
        <f>地区内転居出!J33/地区別人口!T33</f>
        <v>2.9217953499937836E-2</v>
      </c>
      <c r="K33">
        <f>地区内転居出!K33/地区別人口!U33</f>
        <v>2.5977301387137452E-2</v>
      </c>
      <c r="L33">
        <f t="shared" si="0"/>
        <v>2.5156537412890569E-2</v>
      </c>
    </row>
    <row r="34" spans="1:12">
      <c r="A34" t="s">
        <v>33</v>
      </c>
      <c r="B34">
        <f>地区内転居出!B34/地区別人口!L34</f>
        <v>2.4481106971793506E-2</v>
      </c>
      <c r="C34">
        <f>地区内転居出!C34/地区別人口!M34</f>
        <v>1.4115092290988056E-2</v>
      </c>
      <c r="D34">
        <f>地区内転居出!D34/地区別人口!N34</f>
        <v>2.157079646017699E-2</v>
      </c>
      <c r="E34">
        <f>地区内転居出!E34/地区別人口!O34</f>
        <v>1.9340159271899887E-2</v>
      </c>
      <c r="F34">
        <f>地区内転居出!F34/地区別人口!P34</f>
        <v>1.9675925925925927E-2</v>
      </c>
      <c r="G34">
        <f>地区内転居出!G34/地区別人口!Q34</f>
        <v>2.1289178001182733E-2</v>
      </c>
      <c r="H34">
        <f>地区内転居出!H34/地区別人口!R34</f>
        <v>2.3536511768255886E-2</v>
      </c>
      <c r="I34">
        <f>地区内転居出!I34/地区別人口!S34</f>
        <v>2.3327194597912829E-2</v>
      </c>
      <c r="J34">
        <f>地区内転居出!J34/地区別人口!T34</f>
        <v>1.2618296529968454E-2</v>
      </c>
      <c r="K34">
        <f>地区内転居出!K34/地区別人口!U34</f>
        <v>2.4531956100710135E-2</v>
      </c>
      <c r="L34">
        <f t="shared" si="0"/>
        <v>2.0448621791881443E-2</v>
      </c>
    </row>
    <row r="35" spans="1:12">
      <c r="A35" t="s">
        <v>34</v>
      </c>
      <c r="B35">
        <f>地区内転居出!B35/地区別人口!L35</f>
        <v>1.8355945730247406E-2</v>
      </c>
      <c r="C35">
        <f>地区内転居出!C35/地区別人口!M35</f>
        <v>2.5848142164781908E-2</v>
      </c>
      <c r="D35">
        <f>地区内転居出!D35/地区別人口!N35</f>
        <v>2.6512013256006627E-2</v>
      </c>
      <c r="E35">
        <f>地区内転居出!E35/地区別人口!O35</f>
        <v>3.0560271646859084E-2</v>
      </c>
      <c r="F35">
        <f>地区内転居出!F35/地区別人口!P35</f>
        <v>2.4539877300613498E-2</v>
      </c>
      <c r="G35">
        <f>地区内転居出!G35/地区別人口!Q35</f>
        <v>2.3297491039426525E-2</v>
      </c>
      <c r="H35">
        <f>地区内転居出!H35/地区別人口!R35</f>
        <v>2.2914757103574702E-2</v>
      </c>
      <c r="I35">
        <f>地区内転居出!I35/地区別人口!S35</f>
        <v>2.6119402985074626E-2</v>
      </c>
      <c r="J35">
        <f>地区内転居出!J35/地区別人口!T35</f>
        <v>1.4534883720930232E-2</v>
      </c>
      <c r="K35">
        <f>地区内転居出!K35/地区別人口!U35</f>
        <v>2.446183953033268E-2</v>
      </c>
      <c r="L35">
        <f t="shared" si="0"/>
        <v>2.3714462447784728E-2</v>
      </c>
    </row>
    <row r="36" spans="1:12">
      <c r="A36" t="s">
        <v>35</v>
      </c>
      <c r="B36">
        <f>地区内転居出!B36/地区別人口!L36</f>
        <v>2.1691973969631236E-2</v>
      </c>
      <c r="C36">
        <f>地区内転居出!C36/地区別人口!M36</f>
        <v>1.799775028121485E-2</v>
      </c>
      <c r="D36">
        <f>地区内転居出!D36/地区別人口!N36</f>
        <v>9.3457943925233638E-3</v>
      </c>
      <c r="E36">
        <f>地区内転居出!E36/地区別人口!O36</f>
        <v>3.8186157517899763E-2</v>
      </c>
      <c r="F36">
        <f>地区内転居出!F36/地区別人口!P36</f>
        <v>1.5312131919905771E-2</v>
      </c>
      <c r="G36">
        <f>地区内転居出!G36/地区別人口!Q36</f>
        <v>1.555023923444976E-2</v>
      </c>
      <c r="H36">
        <f>地区内転居出!H36/地区別人口!R36</f>
        <v>2.5547445255474453E-2</v>
      </c>
      <c r="I36">
        <f>地区内転居出!I36/地区別人口!S36</f>
        <v>1.1568123393316195E-2</v>
      </c>
      <c r="J36">
        <f>地区内転居出!J36/地区別人口!T36</f>
        <v>3.9215686274509803E-2</v>
      </c>
      <c r="K36">
        <f>地区内転居出!K36/地区別人口!U36</f>
        <v>1.9178082191780823E-2</v>
      </c>
      <c r="L36">
        <f t="shared" si="0"/>
        <v>2.1359338443070603E-2</v>
      </c>
    </row>
    <row r="37" spans="1:12">
      <c r="A37" t="s">
        <v>36</v>
      </c>
      <c r="B37">
        <f>地区内転居出!B37/地区別人口!L37</f>
        <v>2.6704816404387221E-2</v>
      </c>
      <c r="C37">
        <f>地区内転居出!C37/地区別人口!M37</f>
        <v>1.7669531996179561E-2</v>
      </c>
      <c r="D37">
        <f>地区内転居出!D37/地区別人口!N37</f>
        <v>3.7306201550387594E-2</v>
      </c>
      <c r="E37">
        <f>地区内転居出!E37/地区別人口!O37</f>
        <v>3.0561122244488977E-2</v>
      </c>
      <c r="F37">
        <f>地区内転居出!F37/地区別人口!P37</f>
        <v>4.3010752688172046E-2</v>
      </c>
      <c r="G37">
        <f>地区内転居出!G37/地区別人口!Q37</f>
        <v>4.1226215644820298E-2</v>
      </c>
      <c r="H37">
        <f>地区内転居出!H37/地区別人口!R37</f>
        <v>3.1317494600431962E-2</v>
      </c>
      <c r="I37">
        <f>地区内転居出!I37/地区別人口!S37</f>
        <v>3.2506887052341595E-2</v>
      </c>
      <c r="J37">
        <f>地区内転居出!J37/地区別人口!T37</f>
        <v>1.5143017386427369E-2</v>
      </c>
      <c r="K37">
        <f>地区内転居出!K37/地区別人口!U37</f>
        <v>4.4667783361250699E-2</v>
      </c>
      <c r="L37">
        <f t="shared" si="0"/>
        <v>3.2011382292888732E-2</v>
      </c>
    </row>
    <row r="38" spans="1:12">
      <c r="A38" t="s">
        <v>37</v>
      </c>
      <c r="B38">
        <f>地区内転居出!B38/地区別人口!L38</f>
        <v>2.4866785079928951E-2</v>
      </c>
      <c r="C38">
        <f>地区内転居出!C38/地区別人口!M38</f>
        <v>2.8028933092224231E-2</v>
      </c>
      <c r="D38">
        <f>地区内転居出!D38/地区別人口!N38</f>
        <v>2.8306264501160094E-2</v>
      </c>
      <c r="E38">
        <f>地区内転居出!E38/地区別人口!O38</f>
        <v>2.555608140085187E-2</v>
      </c>
      <c r="F38">
        <f>地区内転居出!F38/地区別人口!P38</f>
        <v>2.5517573423206548E-2</v>
      </c>
      <c r="G38">
        <f>地区内転居出!G38/地区別人口!Q38</f>
        <v>2.969814995131451E-2</v>
      </c>
      <c r="H38">
        <f>地区内転居出!H38/地区別人口!R38</f>
        <v>3.1904287138584245E-2</v>
      </c>
      <c r="I38">
        <f>地区内転居出!I38/地区別人口!S38</f>
        <v>1.5712113532691332E-2</v>
      </c>
      <c r="J38">
        <f>地区内転居出!J38/地区別人口!T38</f>
        <v>2.2187822497420021E-2</v>
      </c>
      <c r="K38">
        <f>地区内転居出!K38/地区別人口!U38</f>
        <v>1.9618239660657476E-2</v>
      </c>
      <c r="L38">
        <f t="shared" si="0"/>
        <v>2.5139625027803932E-2</v>
      </c>
    </row>
    <row r="39" spans="1:12">
      <c r="A39" t="s">
        <v>38</v>
      </c>
      <c r="B39">
        <f>地区内転居出!B39/地区別人口!L39</f>
        <v>4.8915722030556927E-2</v>
      </c>
      <c r="C39">
        <f>地区内転居出!C39/地区別人口!M39</f>
        <v>3.9203484754200373E-2</v>
      </c>
      <c r="D39">
        <f>地区内転居出!D39/地区別人口!N39</f>
        <v>3.6926147704590816E-2</v>
      </c>
      <c r="E39">
        <f>地区内転居出!E39/地区別人口!O39</f>
        <v>4.4695543000627745E-2</v>
      </c>
      <c r="F39">
        <f>地区内転居出!F39/地区別人口!P39</f>
        <v>3.5000636375206819E-2</v>
      </c>
      <c r="G39">
        <f>地区内転居出!G39/地区別人口!Q39</f>
        <v>2.8437222292751047E-2</v>
      </c>
      <c r="H39">
        <f>地区内転居出!H39/地区別人口!R39</f>
        <v>4.7067803078488742E-2</v>
      </c>
      <c r="I39">
        <f>地区内転居出!I39/地区別人口!S39</f>
        <v>3.9871382636655947E-2</v>
      </c>
      <c r="J39">
        <f>地区内転居出!J39/地区別人口!T39</f>
        <v>3.8362180315164043E-2</v>
      </c>
      <c r="K39">
        <f>地区内転居出!K39/地区別人口!U39</f>
        <v>4.0233614536015573E-2</v>
      </c>
      <c r="L39">
        <f t="shared" si="0"/>
        <v>3.9871373672425811E-2</v>
      </c>
    </row>
    <row r="40" spans="1:12">
      <c r="A40" t="s">
        <v>39</v>
      </c>
      <c r="B40">
        <f>地区内転居出!B40/地区別人口!L40</f>
        <v>2.7360243202161797E-2</v>
      </c>
      <c r="C40">
        <f>地区内転居出!C40/地区別人口!M40</f>
        <v>2.6078063746378048E-2</v>
      </c>
      <c r="D40">
        <f>地区内転居出!D40/地区別人口!N40</f>
        <v>3.4773627130315031E-2</v>
      </c>
      <c r="E40">
        <f>地区内転居出!E40/地区別人口!O40</f>
        <v>2.9965156794425088E-2</v>
      </c>
      <c r="F40">
        <f>地区内転居出!F40/地区別人口!P40</f>
        <v>2.4854574299312534E-2</v>
      </c>
      <c r="G40">
        <f>地区内転居出!G40/地区別人口!Q40</f>
        <v>2.5950942054745824E-2</v>
      </c>
      <c r="H40">
        <f>地区内転居出!H40/地区別人口!R40</f>
        <v>2.9912980420594634E-2</v>
      </c>
      <c r="I40">
        <f>地区内転居出!I40/地区別人口!S40</f>
        <v>2.8150873965041397E-2</v>
      </c>
      <c r="J40">
        <f>地区内転居出!J40/地区別人口!T40</f>
        <v>2.3487410747839159E-2</v>
      </c>
      <c r="K40">
        <f>地区内転居出!K40/地区別人口!U40</f>
        <v>2.11307824100514E-2</v>
      </c>
      <c r="L40">
        <f t="shared" si="0"/>
        <v>2.7166465477086493E-2</v>
      </c>
    </row>
    <row r="41" spans="1:12">
      <c r="A41" t="s">
        <v>40</v>
      </c>
      <c r="B41">
        <f>地区内転居出!B41/地区別人口!L41</f>
        <v>2.8286637931034482E-2</v>
      </c>
      <c r="C41">
        <f>地区内転居出!C41/地区別人口!M41</f>
        <v>2.7049068913959494E-2</v>
      </c>
      <c r="D41">
        <f>地区内転居出!D41/地区別人口!N41</f>
        <v>2.6782035434693038E-2</v>
      </c>
      <c r="E41">
        <f>地区内転居出!E41/地区別人口!O41</f>
        <v>2.2896551724137931E-2</v>
      </c>
      <c r="F41">
        <f>地区内転居出!F41/地区別人口!P41</f>
        <v>3.014307542714266E-2</v>
      </c>
      <c r="G41">
        <f>地区内転居出!G41/地区別人口!Q41</f>
        <v>2.1267605633802818E-2</v>
      </c>
      <c r="H41">
        <f>地区内転居出!H41/地区別人口!R41</f>
        <v>2.7643203191792535E-2</v>
      </c>
      <c r="I41">
        <f>地区内転居出!I41/地区別人口!S41</f>
        <v>2.6835954407733374E-2</v>
      </c>
      <c r="J41">
        <f>地区内転居出!J41/地区別人口!T41</f>
        <v>2.6136198635109627E-2</v>
      </c>
      <c r="K41">
        <f>地区内転居出!K41/地区別人口!U41</f>
        <v>2.243873634484795E-2</v>
      </c>
      <c r="L41">
        <f t="shared" si="0"/>
        <v>2.5947906764425394E-2</v>
      </c>
    </row>
    <row r="42" spans="1:12">
      <c r="A42" t="s">
        <v>41</v>
      </c>
      <c r="B42">
        <f>地区内転居出!B42/地区別人口!L42</f>
        <v>2.0833333333333332E-2</v>
      </c>
      <c r="C42">
        <f>地区内転居出!C42/地区別人口!M42</f>
        <v>3.5422343324250684E-2</v>
      </c>
      <c r="D42">
        <f>地区内転居出!D42/地区別人口!N42</f>
        <v>1.4367816091954023E-2</v>
      </c>
      <c r="E42">
        <f>地区内転居出!E42/地区別人口!O42</f>
        <v>3.0120481927710843E-2</v>
      </c>
      <c r="F42">
        <f>地区内転居出!F42/地区別人口!P42</f>
        <v>9.4043887147335428E-3</v>
      </c>
      <c r="G42">
        <f>地区内転居出!G42/地区別人口!Q42</f>
        <v>1.9607843137254902E-2</v>
      </c>
      <c r="H42">
        <f>地区内転居出!H42/地区別人口!R42</f>
        <v>6.7567567567567571E-3</v>
      </c>
      <c r="I42">
        <f>地区内転居出!I42/地区別人口!S42</f>
        <v>3.4965034965034965E-3</v>
      </c>
      <c r="J42">
        <f>地区内転居出!J42/地区別人口!T42</f>
        <v>4.4444444444444446E-2</v>
      </c>
      <c r="K42">
        <f>地区内転居出!K42/地区別人口!U42</f>
        <v>3.875968992248062E-2</v>
      </c>
      <c r="L42">
        <f t="shared" si="0"/>
        <v>2.2321360114942262E-2</v>
      </c>
    </row>
    <row r="43" spans="1:12">
      <c r="A43" t="s">
        <v>42</v>
      </c>
      <c r="B43">
        <f>地区内転居出!B43/地区別人口!L43</f>
        <v>3.8307349665924278E-2</v>
      </c>
      <c r="C43">
        <f>地区内転居出!C43/地区別人口!M43</f>
        <v>3.0442804428044281E-2</v>
      </c>
      <c r="D43">
        <f>地区内転居出!D43/地区別人口!N43</f>
        <v>3.176861071597914E-2</v>
      </c>
      <c r="E43">
        <f>地区内転居出!E43/地区別人口!O43</f>
        <v>4.8395061728395063E-2</v>
      </c>
      <c r="F43">
        <f>地区内転居出!F43/地区別人口!P43</f>
        <v>2.6544155181214904E-2</v>
      </c>
      <c r="G43">
        <f>地区内転居出!G43/地区別人口!Q43</f>
        <v>2.903907074973601E-2</v>
      </c>
      <c r="H43">
        <f>地区内転居出!H43/地区別人口!R43</f>
        <v>3.3659066232356136E-2</v>
      </c>
      <c r="I43">
        <f>地区内転居出!I43/地区別人口!S43</f>
        <v>3.9727582292849034E-2</v>
      </c>
      <c r="J43">
        <f>地区内転居出!J43/地区別人口!T43</f>
        <v>3.4029850746268658E-2</v>
      </c>
      <c r="K43">
        <f>地区内転居出!K43/地区別人口!U43</f>
        <v>4.0816326530612242E-2</v>
      </c>
      <c r="L43">
        <f t="shared" si="0"/>
        <v>3.5272987827137975E-2</v>
      </c>
    </row>
    <row r="44" spans="1:12">
      <c r="A44" t="s">
        <v>43</v>
      </c>
      <c r="B44">
        <f>地区内転居出!B44/地区別人口!L44</f>
        <v>2.3498694516971279E-2</v>
      </c>
      <c r="C44">
        <f>地区内転居出!C44/地区別人口!M44</f>
        <v>4.0540540540540543E-2</v>
      </c>
      <c r="D44">
        <f>地区内転居出!D44/地区別人口!N44</f>
        <v>2.4113475177304965E-2</v>
      </c>
      <c r="E44">
        <f>地区内転居出!E44/地区別人口!O44</f>
        <v>5.0147492625368731E-2</v>
      </c>
      <c r="F44">
        <f>地区内転居出!F44/地区別人口!P44</f>
        <v>1.8045112781954888E-2</v>
      </c>
      <c r="G44">
        <f>地区内転居出!G44/地区別人口!Q44</f>
        <v>3.201219512195122E-2</v>
      </c>
      <c r="H44">
        <f>地区内転居出!H44/地区別人口!R44</f>
        <v>2.3547880690737835E-2</v>
      </c>
      <c r="I44">
        <f>地区内転居出!I44/地区別人口!S44</f>
        <v>2.7287319422150885E-2</v>
      </c>
      <c r="J44">
        <f>地区内転居出!J44/地区別人口!T44</f>
        <v>1.6694490818030049E-2</v>
      </c>
      <c r="K44">
        <f>地区内転居出!K44/地区別人口!U44</f>
        <v>1.5463917525773196E-2</v>
      </c>
      <c r="L44">
        <f t="shared" si="0"/>
        <v>2.7135111922078358E-2</v>
      </c>
    </row>
    <row r="45" spans="1:12">
      <c r="A45" t="s">
        <v>44</v>
      </c>
      <c r="B45">
        <f>地区内転居出!B45/地区別人口!L45</f>
        <v>2.5834230355220669E-2</v>
      </c>
      <c r="C45">
        <f>地区内転居出!C45/地区別人口!M45</f>
        <v>2.5930101465614429E-2</v>
      </c>
      <c r="D45">
        <f>地区内転居出!D45/地区別人口!N45</f>
        <v>3.5629453681710214E-2</v>
      </c>
      <c r="E45">
        <f>地区内転居出!E45/地区別人口!O45</f>
        <v>3.0379746835443037E-2</v>
      </c>
      <c r="F45">
        <f>地区内転居出!F45/地区別人口!P45</f>
        <v>2.826379542395693E-2</v>
      </c>
      <c r="G45">
        <f>地区内転居出!G45/地区別人口!Q45</f>
        <v>1.8465909090909092E-2</v>
      </c>
      <c r="H45">
        <f>地区内転居出!H45/地区別人口!R45</f>
        <v>1.4814814814814815E-2</v>
      </c>
      <c r="I45">
        <f>地区内転居出!I45/地区別人口!S45</f>
        <v>1.0852713178294573E-2</v>
      </c>
      <c r="J45">
        <f>地区内転居出!J45/地区別人口!T45</f>
        <v>1.4308426073131956E-2</v>
      </c>
      <c r="K45">
        <f>地区内転居出!K45/地区別人口!U45</f>
        <v>1.3422818791946308E-2</v>
      </c>
      <c r="L45">
        <f t="shared" si="0"/>
        <v>2.17902009711042E-2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24E8-359E-AB48-94A7-C434CFFDDC33}">
  <dimension ref="A1:L45"/>
  <sheetViews>
    <sheetView zoomScale="95" workbookViewId="0">
      <selection activeCell="L25" sqref="L25"/>
    </sheetView>
  </sheetViews>
  <sheetFormatPr baseColWidth="10" defaultRowHeight="20"/>
  <sheetData>
    <row r="1" spans="1:1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t="s">
        <v>49</v>
      </c>
    </row>
    <row r="2" spans="1:12">
      <c r="A2" t="s">
        <v>1</v>
      </c>
      <c r="B2">
        <f>地区外転出!F2/地区別人口!L2</f>
        <v>3.6779835390946501E-2</v>
      </c>
      <c r="C2">
        <f>地区外転出!G2/地区別人口!M2</f>
        <v>4.2623787646758553E-2</v>
      </c>
      <c r="D2">
        <f>地区外転出!H2/地区別人口!N2</f>
        <v>4.714064914992272E-2</v>
      </c>
      <c r="E2">
        <f>地区外転出!I2/地区別人口!O2</f>
        <v>4.0790790790790787E-2</v>
      </c>
      <c r="F2">
        <f>地区外転出!J2/地区別人口!P2</f>
        <v>4.5878693623639194E-2</v>
      </c>
      <c r="G2">
        <f>地区外転出!K2/地区別人口!Q2</f>
        <v>3.7349705807111791E-2</v>
      </c>
      <c r="H2">
        <f>地区外転出!L2/地区別人口!R2</f>
        <v>4.3897487947221515E-2</v>
      </c>
      <c r="I2">
        <f>地区外転出!M2/地区別人口!S2</f>
        <v>3.9406345957011257E-2</v>
      </c>
      <c r="J2">
        <f>地区外転出!N2/地区別人口!T2</f>
        <v>3.6010362694300517E-2</v>
      </c>
      <c r="K2">
        <f>地区外転出!O2/地区別人口!U2</f>
        <v>4.8411497730711045E-2</v>
      </c>
      <c r="L2">
        <f>AVERAGE(B2:K2)</f>
        <v>4.1828915673841394E-2</v>
      </c>
    </row>
    <row r="3" spans="1:12">
      <c r="A3" t="s">
        <v>2</v>
      </c>
      <c r="B3">
        <f>地区外転出!F3/地区別人口!L3</f>
        <v>5.1456678017404466E-2</v>
      </c>
      <c r="C3">
        <f>地区外転出!G3/地区別人口!M3</f>
        <v>5.0524774225042715E-2</v>
      </c>
      <c r="D3">
        <f>地区外転出!H3/地区別人口!N3</f>
        <v>4.9142994126812896E-2</v>
      </c>
      <c r="E3">
        <f>地区外転出!I3/地区別人口!O3</f>
        <v>5.4079696394686905E-2</v>
      </c>
      <c r="F3">
        <f>地区外転出!J3/地区別人口!P3</f>
        <v>5.9264548375580151E-2</v>
      </c>
      <c r="G3">
        <f>地区外転出!K3/地区別人口!Q3</f>
        <v>4.4957472660996353E-2</v>
      </c>
      <c r="H3">
        <f>地区外転出!L3/地区別人口!R3</f>
        <v>4.3900683699172362E-2</v>
      </c>
      <c r="I3">
        <f>地区外転出!M3/地区別人口!S3</f>
        <v>5.1527860994607551E-2</v>
      </c>
      <c r="J3">
        <f>地区外転出!N3/地区別人口!T3</f>
        <v>5.0490374137304755E-2</v>
      </c>
      <c r="K3">
        <f>地区外転出!O3/地区別人口!U3</f>
        <v>5.0897107286708168E-2</v>
      </c>
      <c r="L3">
        <f t="shared" ref="L3:L45" si="0">AVERAGE(B3:K3)</f>
        <v>5.0624218991831629E-2</v>
      </c>
    </row>
    <row r="4" spans="1:12">
      <c r="A4" t="s">
        <v>3</v>
      </c>
      <c r="B4">
        <f>地区外転出!F4/地区別人口!L4</f>
        <v>3.9091281211625049E-2</v>
      </c>
      <c r="C4">
        <f>地区外転出!G4/地区別人口!M4</f>
        <v>4.0562248995983936E-2</v>
      </c>
      <c r="D4">
        <f>地区外転出!H4/地区別人口!N4</f>
        <v>4.0056645761683191E-2</v>
      </c>
      <c r="E4">
        <f>地区外転出!I4/地区別人口!O4</f>
        <v>2.9880880274581061E-2</v>
      </c>
      <c r="F4">
        <f>地区外転出!J4/地区別人口!P4</f>
        <v>3.7104994903160042E-2</v>
      </c>
      <c r="G4">
        <f>地区外転出!K4/地区別人口!Q4</f>
        <v>3.831814415907208E-2</v>
      </c>
      <c r="H4">
        <f>地区外転出!L4/地区別人口!R4</f>
        <v>3.9331567148970861E-2</v>
      </c>
      <c r="I4">
        <f>地区外転出!M4/地区別人口!S4</f>
        <v>4.319426885798567E-2</v>
      </c>
      <c r="J4">
        <f>地区外転出!N4/地区別人口!T4</f>
        <v>3.8266384778012683E-2</v>
      </c>
      <c r="K4">
        <f>地区外転出!O4/地区別人口!U4</f>
        <v>4.1370664437944002E-2</v>
      </c>
      <c r="L4">
        <f t="shared" si="0"/>
        <v>3.871770805290186E-2</v>
      </c>
    </row>
    <row r="5" spans="1:12">
      <c r="A5" t="s">
        <v>4</v>
      </c>
      <c r="B5">
        <f>地区外転出!F5/地区別人口!L5</f>
        <v>3.3195235629207662E-2</v>
      </c>
      <c r="C5">
        <f>地区外転出!G5/地区別人口!M5</f>
        <v>3.1787119486436116E-2</v>
      </c>
      <c r="D5">
        <f>地区外転出!H5/地区別人口!N5</f>
        <v>3.4172103137620376E-2</v>
      </c>
      <c r="E5">
        <f>地区外転出!I5/地区別人口!O5</f>
        <v>3.1874380510198759E-2</v>
      </c>
      <c r="F5">
        <f>地区外転出!J5/地区別人口!P5</f>
        <v>3.4064785788923718E-2</v>
      </c>
      <c r="G5">
        <f>地区外転出!K5/地区別人口!Q5</f>
        <v>3.364329746108035E-2</v>
      </c>
      <c r="H5">
        <f>地区外転出!L5/地区別人口!R5</f>
        <v>3.1126142789198331E-2</v>
      </c>
      <c r="I5">
        <f>地区外転出!M5/地区別人口!S5</f>
        <v>3.4127152881139697E-2</v>
      </c>
      <c r="J5">
        <f>地区外転出!N5/地区別人口!T5</f>
        <v>3.6231107299817773E-2</v>
      </c>
      <c r="K5">
        <f>地区外転出!O5/地区別人口!U5</f>
        <v>3.4285405755628745E-2</v>
      </c>
      <c r="L5">
        <f t="shared" si="0"/>
        <v>3.3450673073925151E-2</v>
      </c>
    </row>
    <row r="6" spans="1:12">
      <c r="A6" t="s">
        <v>5</v>
      </c>
      <c r="B6">
        <f>地区外転出!F6/地区別人口!L6</f>
        <v>4.0542221116776522E-2</v>
      </c>
      <c r="C6">
        <f>地区外転出!G6/地区別人口!M6</f>
        <v>4.2056219909923899E-2</v>
      </c>
      <c r="D6">
        <f>地区外転出!H6/地区別人口!N6</f>
        <v>3.8875542104770525E-2</v>
      </c>
      <c r="E6">
        <f>地区外転出!I6/地区別人口!O6</f>
        <v>4.0296924708377521E-2</v>
      </c>
      <c r="F6">
        <f>地区外転出!J6/地区別人口!P6</f>
        <v>4.0635493097873399E-2</v>
      </c>
      <c r="G6">
        <f>地区外転出!K6/地区別人口!Q6</f>
        <v>3.7069532792279009E-2</v>
      </c>
      <c r="H6">
        <f>地区外転出!L6/地区別人口!R6</f>
        <v>3.7734666374149871E-2</v>
      </c>
      <c r="I6">
        <f>地区外転出!M6/地区別人口!S6</f>
        <v>4.1733095751664638E-2</v>
      </c>
      <c r="J6">
        <f>地区外転出!N6/地区別人口!T6</f>
        <v>4.3640819404298099E-2</v>
      </c>
      <c r="K6">
        <f>地区外転出!O6/地区別人口!U6</f>
        <v>4.1830024029341092E-2</v>
      </c>
      <c r="L6">
        <f t="shared" si="0"/>
        <v>4.0441453928945451E-2</v>
      </c>
    </row>
    <row r="7" spans="1:12">
      <c r="A7" t="s">
        <v>6</v>
      </c>
      <c r="B7">
        <f>地区外転出!F7/地区別人口!L7</f>
        <v>4.1309055907596051E-2</v>
      </c>
      <c r="C7">
        <f>地区外転出!G7/地区別人口!M7</f>
        <v>4.0406484393902736E-2</v>
      </c>
      <c r="D7">
        <f>地区外転出!H7/地区別人口!N7</f>
        <v>4.247787610619469E-2</v>
      </c>
      <c r="E7">
        <f>地区外転出!I7/地区別人口!O7</f>
        <v>4.0152498377676836E-2</v>
      </c>
      <c r="F7">
        <f>地区外転出!J7/地区別人口!P7</f>
        <v>4.0318686624818925E-2</v>
      </c>
      <c r="G7">
        <f>地区外転出!K7/地区別人口!Q7</f>
        <v>3.9634146341463415E-2</v>
      </c>
      <c r="H7">
        <f>地区外転出!L7/地区別人口!R7</f>
        <v>3.7541555177166952E-2</v>
      </c>
      <c r="I7">
        <f>地区外転出!M7/地区別人口!S7</f>
        <v>3.9647577092511016E-2</v>
      </c>
      <c r="J7">
        <f>地区外転出!N7/地区別人口!T7</f>
        <v>4.1632719569822389E-2</v>
      </c>
      <c r="K7">
        <f>地区外転出!O7/地区別人口!U7</f>
        <v>4.2767503302509904E-2</v>
      </c>
      <c r="L7">
        <f t="shared" si="0"/>
        <v>4.0588810289366284E-2</v>
      </c>
    </row>
    <row r="8" spans="1:12">
      <c r="A8" t="s">
        <v>7</v>
      </c>
      <c r="B8">
        <f>地区外転出!F8/地区別人口!L8</f>
        <v>4.7359926216278533E-2</v>
      </c>
      <c r="C8">
        <f>地区外転出!G8/地区別人口!M8</f>
        <v>4.566420664206642E-2</v>
      </c>
      <c r="D8">
        <f>地区外転出!H8/地区別人口!N8</f>
        <v>4.4059177068885805E-2</v>
      </c>
      <c r="E8">
        <f>地区外転出!I8/地区別人口!O8</f>
        <v>4.3732718894009218E-2</v>
      </c>
      <c r="F8">
        <f>地区外転出!J8/地区別人口!P8</f>
        <v>3.9870490286771511E-2</v>
      </c>
      <c r="G8">
        <f>地区外転出!K8/地区別人口!Q8</f>
        <v>4.142448565365809E-2</v>
      </c>
      <c r="H8">
        <f>地区外転出!L8/地区別人口!R8</f>
        <v>4.5969077857537274E-2</v>
      </c>
      <c r="I8">
        <f>地区外転出!M8/地区別人口!S8</f>
        <v>3.8751698608312637E-2</v>
      </c>
      <c r="J8">
        <f>地区外転出!N8/地区別人口!T8</f>
        <v>4.2168674698795178E-2</v>
      </c>
      <c r="K8">
        <f>地区外転出!O8/地区別人口!U8</f>
        <v>4.1720802656272558E-2</v>
      </c>
      <c r="L8">
        <f t="shared" si="0"/>
        <v>4.3072125858258724E-2</v>
      </c>
    </row>
    <row r="9" spans="1:12">
      <c r="A9" t="s">
        <v>8</v>
      </c>
      <c r="B9">
        <f>地区外転出!F9/地区別人口!L9</f>
        <v>4.6600688468158347E-2</v>
      </c>
      <c r="C9">
        <f>地区外転出!G9/地区別人口!M9</f>
        <v>4.7402990234206202E-2</v>
      </c>
      <c r="D9">
        <f>地区外転出!H9/地区別人口!N9</f>
        <v>4.9917384120358295E-2</v>
      </c>
      <c r="E9">
        <f>地区外転出!I9/地区別人口!O9</f>
        <v>4.7318611987381701E-2</v>
      </c>
      <c r="F9">
        <f>地区外転出!J9/地区別人口!P9</f>
        <v>4.552680385056964E-2</v>
      </c>
      <c r="G9">
        <f>地区外転出!K9/地区別人口!Q9</f>
        <v>4.5798486658701711E-2</v>
      </c>
      <c r="H9">
        <f>地区外転出!L9/地区別人口!R9</f>
        <v>4.2922659067634358E-2</v>
      </c>
      <c r="I9">
        <f>地区外転出!M9/地区別人口!S9</f>
        <v>4.5337819888426459E-2</v>
      </c>
      <c r="J9">
        <f>地区外転出!N9/地区別人口!T9</f>
        <v>4.4012511170688114E-2</v>
      </c>
      <c r="K9">
        <f>地区外転出!O9/地区別人口!U9</f>
        <v>4.4175804422074423E-2</v>
      </c>
      <c r="L9">
        <f t="shared" si="0"/>
        <v>4.5901375986819926E-2</v>
      </c>
    </row>
    <row r="10" spans="1:12">
      <c r="A10" t="s">
        <v>9</v>
      </c>
      <c r="B10">
        <f>地区外転出!F10/地区別人口!L10</f>
        <v>2.88717968538631E-2</v>
      </c>
      <c r="C10">
        <f>地区外転出!G10/地区別人口!M10</f>
        <v>3.3464263709180528E-2</v>
      </c>
      <c r="D10">
        <f>地区外転出!H10/地区別人口!N10</f>
        <v>3.031945788964182E-2</v>
      </c>
      <c r="E10">
        <f>地区外転出!I10/地区別人口!O10</f>
        <v>3.0372028403828341E-2</v>
      </c>
      <c r="F10">
        <f>地区外転出!J10/地区別人口!P10</f>
        <v>2.8156082631981636E-2</v>
      </c>
      <c r="G10">
        <f>地区外転出!K10/地区別人口!Q10</f>
        <v>2.6948989412897015E-2</v>
      </c>
      <c r="H10">
        <f>地区外転出!L10/地区別人口!R10</f>
        <v>2.7307186508857429E-2</v>
      </c>
      <c r="I10">
        <f>地区外転出!M10/地区別人口!S10</f>
        <v>2.8578057929540972E-2</v>
      </c>
      <c r="J10">
        <f>地区外転出!N10/地区別人口!T10</f>
        <v>2.5739976073785358E-2</v>
      </c>
      <c r="K10">
        <f>地区外転出!O10/地区別人口!U10</f>
        <v>2.4039203580799508E-2</v>
      </c>
      <c r="L10">
        <f t="shared" si="0"/>
        <v>2.8379704299437571E-2</v>
      </c>
    </row>
    <row r="11" spans="1:12">
      <c r="A11" t="s">
        <v>10</v>
      </c>
      <c r="B11">
        <f>地区外転出!F11/地区別人口!L11</f>
        <v>5.107981996118429E-2</v>
      </c>
      <c r="C11">
        <f>地区外転出!G11/地区別人口!M11</f>
        <v>4.6796495453224264E-2</v>
      </c>
      <c r="D11">
        <f>地区外転出!H11/地区別人口!N11</f>
        <v>4.7265755251750585E-2</v>
      </c>
      <c r="E11">
        <f>地区外転出!I11/地区別人口!O11</f>
        <v>4.8258269560490112E-2</v>
      </c>
      <c r="F11">
        <f>地区外転出!J11/地区別人口!P11</f>
        <v>4.6594525779758117E-2</v>
      </c>
      <c r="G11">
        <f>地区外転出!K11/地区別人口!Q11</f>
        <v>4.3200952461944046E-2</v>
      </c>
      <c r="H11">
        <f>地区外転出!L11/地区別人口!R11</f>
        <v>4.1054839676356009E-2</v>
      </c>
      <c r="I11">
        <f>地区外転出!M11/地区別人口!S11</f>
        <v>4.3109272082418514E-2</v>
      </c>
      <c r="J11">
        <f>地区外転出!N11/地区別人口!T11</f>
        <v>4.4561837004217612E-2</v>
      </c>
      <c r="K11">
        <f>地区外転出!O11/地区別人口!U11</f>
        <v>4.3389310374222147E-2</v>
      </c>
      <c r="L11">
        <f t="shared" si="0"/>
        <v>4.553110776055657E-2</v>
      </c>
    </row>
    <row r="12" spans="1:12">
      <c r="A12" t="s">
        <v>11</v>
      </c>
      <c r="B12">
        <f>地区外転出!F12/地区別人口!L12</f>
        <v>2.5112374159515585E-2</v>
      </c>
      <c r="C12">
        <f>地区外転出!G12/地区別人口!M12</f>
        <v>2.0736818883741452E-2</v>
      </c>
      <c r="D12">
        <f>地区外転出!H12/地区別人口!N12</f>
        <v>2.2057209744677737E-2</v>
      </c>
      <c r="E12">
        <f>地区外転出!I12/地区別人口!O12</f>
        <v>2.4694944799535153E-2</v>
      </c>
      <c r="F12">
        <f>地区外転出!J12/地区別人口!P12</f>
        <v>2.3699105349643965E-2</v>
      </c>
      <c r="G12">
        <f>地区外転出!K12/地区別人口!Q12</f>
        <v>2.1616678858814922E-2</v>
      </c>
      <c r="H12">
        <f>地区外転出!L12/地区別人口!R12</f>
        <v>2.2907456797340249E-2</v>
      </c>
      <c r="I12">
        <f>地区外転出!M12/地区別人口!S12</f>
        <v>2.5245493184816063E-2</v>
      </c>
      <c r="J12">
        <f>地区外転出!N12/地区別人口!T12</f>
        <v>2.6109372122997607E-2</v>
      </c>
      <c r="K12">
        <f>地区外転出!O12/地区別人口!U12</f>
        <v>2.3783943985477715E-2</v>
      </c>
      <c r="L12">
        <f t="shared" si="0"/>
        <v>2.3596339788656044E-2</v>
      </c>
    </row>
    <row r="13" spans="1:12">
      <c r="A13" t="s">
        <v>12</v>
      </c>
      <c r="B13">
        <f>地区外転出!F13/地区別人口!L13</f>
        <v>2.4391509678758628E-2</v>
      </c>
      <c r="C13">
        <f>地区外転出!G13/地区別人口!M13</f>
        <v>2.1873860736419979E-2</v>
      </c>
      <c r="D13">
        <f>地区外転出!H13/地区別人口!N13</f>
        <v>2.4426926667358156E-2</v>
      </c>
      <c r="E13">
        <f>地区外転出!I13/地区別人口!O13</f>
        <v>2.259301482018862E-2</v>
      </c>
      <c r="F13">
        <f>地区外転出!J13/地区別人口!P13</f>
        <v>2.3412062638896065E-2</v>
      </c>
      <c r="G13">
        <f>地区外転出!K13/地区別人口!Q13</f>
        <v>2.2441558441558443E-2</v>
      </c>
      <c r="H13">
        <f>地区外転出!L13/地区別人口!R13</f>
        <v>2.2547385961258073E-2</v>
      </c>
      <c r="I13">
        <f>地区外転出!M13/地区別人口!S13</f>
        <v>2.471522625143693E-2</v>
      </c>
      <c r="J13">
        <f>地区外転出!N13/地区別人口!T13</f>
        <v>2.4972340761814447E-2</v>
      </c>
      <c r="K13">
        <f>地区外転出!O13/地区別人口!U13</f>
        <v>2.2619617861514715E-2</v>
      </c>
      <c r="L13">
        <f t="shared" si="0"/>
        <v>2.3399350381920408E-2</v>
      </c>
    </row>
    <row r="14" spans="1:12">
      <c r="A14" t="s">
        <v>13</v>
      </c>
      <c r="B14">
        <f>地区外転出!F14/地区別人口!L14</f>
        <v>2.2827189719310113E-2</v>
      </c>
      <c r="C14">
        <f>地区外転出!G14/地区別人口!M14</f>
        <v>2.2398113843044798E-2</v>
      </c>
      <c r="D14">
        <f>地区外転出!H14/地区別人口!N14</f>
        <v>2.3146987549093341E-2</v>
      </c>
      <c r="E14">
        <f>地区外転出!I14/地区別人口!O14</f>
        <v>2.167594053650029E-2</v>
      </c>
      <c r="F14">
        <f>地区外転出!J14/地区別人口!P14</f>
        <v>2.118748460211875E-2</v>
      </c>
      <c r="G14">
        <f>地区外転出!K14/地区別人口!Q14</f>
        <v>1.7668711656441717E-2</v>
      </c>
      <c r="H14">
        <f>地区外転出!L14/地区別人口!R14</f>
        <v>1.906097862859972E-2</v>
      </c>
      <c r="I14">
        <f>地区外転出!M14/地区別人口!S14</f>
        <v>2.115129396151294E-2</v>
      </c>
      <c r="J14">
        <f>地区外転出!N14/地区別人口!T14</f>
        <v>2.2367117860680092E-2</v>
      </c>
      <c r="K14">
        <f>地区外転出!O14/地区別人口!U14</f>
        <v>2.1917808219178082E-2</v>
      </c>
      <c r="L14">
        <f t="shared" si="0"/>
        <v>2.1340162657647981E-2</v>
      </c>
    </row>
    <row r="15" spans="1:12">
      <c r="A15" t="s">
        <v>14</v>
      </c>
      <c r="B15">
        <f>地区外転出!F15/地区別人口!L15</f>
        <v>2.3280635047695283E-2</v>
      </c>
      <c r="C15">
        <f>地区外転出!G15/地区別人口!M15</f>
        <v>2.1343503278469157E-2</v>
      </c>
      <c r="D15">
        <f>地区外転出!H15/地区別人口!N15</f>
        <v>2.6049009734810339E-2</v>
      </c>
      <c r="E15">
        <f>地区外転出!I15/地区別人口!O15</f>
        <v>2.3213318895506225E-2</v>
      </c>
      <c r="F15">
        <f>地区外転出!J15/地区別人口!P15</f>
        <v>2.5510550240857587E-2</v>
      </c>
      <c r="G15">
        <f>地区外転出!K15/地区別人口!Q15</f>
        <v>1.9387755102040816E-2</v>
      </c>
      <c r="H15">
        <f>地区外転出!L15/地区別人口!R15</f>
        <v>1.9039109217128324E-2</v>
      </c>
      <c r="I15">
        <f>地区外転出!M15/地区別人口!S15</f>
        <v>2.0693979933110368E-2</v>
      </c>
      <c r="J15">
        <f>地区外転出!N15/地区別人口!T15</f>
        <v>2.1037868162692847E-2</v>
      </c>
      <c r="K15">
        <f>地区外転出!O15/地区別人口!U15</f>
        <v>1.8609625668449196E-2</v>
      </c>
      <c r="L15">
        <f t="shared" si="0"/>
        <v>2.1816535528076015E-2</v>
      </c>
    </row>
    <row r="16" spans="1:12">
      <c r="A16" t="s">
        <v>15</v>
      </c>
      <c r="B16">
        <f>地区外転出!F16/地区別人口!L16</f>
        <v>2.7859237536656891E-2</v>
      </c>
      <c r="C16">
        <f>地区外転出!G16/地区別人口!M16</f>
        <v>1.8857356235997012E-2</v>
      </c>
      <c r="D16">
        <f>地区外転出!H16/地区別人口!N16</f>
        <v>2.9290274126924521E-2</v>
      </c>
      <c r="E16">
        <f>地区外転出!I16/地区別人口!O16</f>
        <v>3.3996523082866527E-2</v>
      </c>
      <c r="F16">
        <f>地区外転出!J16/地区別人口!P16</f>
        <v>3.6515181583647548E-2</v>
      </c>
      <c r="G16">
        <f>地区外転出!K16/地区別人口!Q16</f>
        <v>2.6572008113590263E-2</v>
      </c>
      <c r="H16">
        <f>地区外転出!L16/地区別人口!R16</f>
        <v>2.752105155062641E-2</v>
      </c>
      <c r="I16">
        <f>地区外転出!M16/地区別人口!S16</f>
        <v>2.3442449841605068E-2</v>
      </c>
      <c r="J16">
        <f>地区外転出!N16/地区別人口!T16</f>
        <v>3.1377605845690951E-2</v>
      </c>
      <c r="K16">
        <f>地区外転出!O16/地区別人口!U16</f>
        <v>2.8902999781037879E-2</v>
      </c>
      <c r="L16">
        <f t="shared" si="0"/>
        <v>2.8433468769864308E-2</v>
      </c>
    </row>
    <row r="17" spans="1:12">
      <c r="A17" t="s">
        <v>16</v>
      </c>
      <c r="B17">
        <f>地区外転出!F17/地区別人口!L17</f>
        <v>1.4483382904435536E-2</v>
      </c>
      <c r="C17">
        <f>地区外転出!G17/地区別人口!M17</f>
        <v>1.2535910159310526E-2</v>
      </c>
      <c r="D17">
        <f>地区外転出!H17/地区別人口!N17</f>
        <v>1.5910585141354371E-2</v>
      </c>
      <c r="E17">
        <f>地区外転出!I17/地区別人口!O17</f>
        <v>1.6329808593227146E-2</v>
      </c>
      <c r="F17">
        <f>地区外転出!J17/地区別人口!P17</f>
        <v>1.5937883122190438E-2</v>
      </c>
      <c r="G17">
        <f>地区外転出!K17/地区別人口!Q17</f>
        <v>1.3515396405183224E-2</v>
      </c>
      <c r="H17">
        <f>地区外転出!L17/地区別人口!R17</f>
        <v>1.6882386043894203E-2</v>
      </c>
      <c r="I17">
        <f>地区外転出!M17/地区別人口!S17</f>
        <v>1.7864799199656996E-2</v>
      </c>
      <c r="J17">
        <f>地区外転出!N17/地区別人口!T17</f>
        <v>1.417413942724906E-2</v>
      </c>
      <c r="K17">
        <f>地区外転出!O17/地区別人口!U17</f>
        <v>9.3236643480834689E-3</v>
      </c>
      <c r="L17">
        <f t="shared" si="0"/>
        <v>1.4695795534458498E-2</v>
      </c>
    </row>
    <row r="18" spans="1:12">
      <c r="A18" t="s">
        <v>17</v>
      </c>
      <c r="B18">
        <f>地区外転出!F18/地区別人口!L18</f>
        <v>2.9531064503363673E-2</v>
      </c>
      <c r="C18">
        <f>地区外転出!G18/地区別人口!M18</f>
        <v>2.3771869131165364E-2</v>
      </c>
      <c r="D18">
        <f>地区外転出!H18/地区別人口!N18</f>
        <v>2.5076664358492432E-2</v>
      </c>
      <c r="E18">
        <f>地区外転出!I18/地区別人口!O18</f>
        <v>2.8101540892927695E-2</v>
      </c>
      <c r="F18">
        <f>地区外転出!J18/地区別人口!P18</f>
        <v>2.3027295285359801E-2</v>
      </c>
      <c r="G18">
        <f>地区外転出!K18/地区別人口!Q18</f>
        <v>2.2639261245159369E-2</v>
      </c>
      <c r="H18">
        <f>地区外転出!L18/地区別人口!R18</f>
        <v>2.708488922081155E-2</v>
      </c>
      <c r="I18">
        <f>地区外転出!M18/地区別人口!S18</f>
        <v>2.25597609561753E-2</v>
      </c>
      <c r="J18">
        <f>地区外転出!N18/地区別人口!T18</f>
        <v>2.8218341922249462E-2</v>
      </c>
      <c r="K18">
        <f>地区外転出!O18/地区別人口!U18</f>
        <v>3.1563629064632677E-2</v>
      </c>
      <c r="L18">
        <f t="shared" si="0"/>
        <v>2.615743165803373E-2</v>
      </c>
    </row>
    <row r="19" spans="1:12">
      <c r="A19" t="s">
        <v>18</v>
      </c>
      <c r="B19">
        <f>地区外転出!F19/地区別人口!L19</f>
        <v>2.4474256707759247E-2</v>
      </c>
      <c r="C19">
        <f>地区外転出!G19/地区別人口!M19</f>
        <v>2.922166590805644E-2</v>
      </c>
      <c r="D19">
        <f>地区外転出!H19/地区別人口!N19</f>
        <v>2.404110846026794E-2</v>
      </c>
      <c r="E19">
        <f>地区外転出!I19/地区別人口!O19</f>
        <v>2.4320325503976326E-2</v>
      </c>
      <c r="F19">
        <f>地区外転出!J19/地区別人口!P19</f>
        <v>3.1212149445634958E-2</v>
      </c>
      <c r="G19">
        <f>地区外転出!K19/地区別人口!Q19</f>
        <v>2.5628810975609755E-2</v>
      </c>
      <c r="H19">
        <f>地区外転出!L19/地区別人口!R19</f>
        <v>2.6784854032180363E-2</v>
      </c>
      <c r="I19">
        <f>地区外転出!M19/地区別人口!S19</f>
        <v>2.7682676318106232E-2</v>
      </c>
      <c r="J19">
        <f>地区外転出!N19/地区別人口!T19</f>
        <v>2.1453761755485894E-2</v>
      </c>
      <c r="K19">
        <f>地区外転出!O19/地区別人口!U19</f>
        <v>2.0688283270340162E-2</v>
      </c>
      <c r="L19">
        <f t="shared" si="0"/>
        <v>2.5550789237741726E-2</v>
      </c>
    </row>
    <row r="20" spans="1:12">
      <c r="A20" t="s">
        <v>19</v>
      </c>
      <c r="B20">
        <f>地区外転出!F20/地区別人口!L20</f>
        <v>1.7045454545454544E-2</v>
      </c>
      <c r="C20">
        <f>地区外転出!G20/地区別人口!M20</f>
        <v>1.7874396135265702E-2</v>
      </c>
      <c r="D20">
        <f>地区外転出!H20/地区別人口!N20</f>
        <v>1.5090053545351289E-2</v>
      </c>
      <c r="E20">
        <f>地区外転出!I20/地区別人口!O20</f>
        <v>1.5211909216627349E-2</v>
      </c>
      <c r="F20">
        <f>地区外転出!J20/地区別人口!P20</f>
        <v>1.9404915912031046E-2</v>
      </c>
      <c r="G20">
        <f>地区外転出!K20/地区別人口!Q20</f>
        <v>1.4710689767898006E-2</v>
      </c>
      <c r="H20">
        <f>地区外転出!L20/地区別人口!R20</f>
        <v>2.136576546963596E-2</v>
      </c>
      <c r="I20">
        <f>地区外転出!M20/地区別人口!S20</f>
        <v>1.8738649496450387E-2</v>
      </c>
      <c r="J20">
        <f>地区外転出!N20/地区別人口!T20</f>
        <v>1.6318374823078845E-2</v>
      </c>
      <c r="K20">
        <f>地区外転出!O20/地区別人口!U20</f>
        <v>1.5736766809728183E-2</v>
      </c>
      <c r="L20">
        <f t="shared" si="0"/>
        <v>1.714969757215213E-2</v>
      </c>
    </row>
    <row r="21" spans="1:12">
      <c r="A21" t="s">
        <v>20</v>
      </c>
      <c r="B21">
        <f>地区外転出!F21/地区別人口!L21</f>
        <v>1.7321726897036843E-2</v>
      </c>
      <c r="C21">
        <f>地区外転出!G21/地区別人口!M21</f>
        <v>1.2558592022640843E-2</v>
      </c>
      <c r="D21">
        <f>地区外転出!H21/地区別人口!N21</f>
        <v>1.5987350667603654E-2</v>
      </c>
      <c r="E21">
        <f>地区外転出!I21/地区別人口!O21</f>
        <v>1.9446391030133146E-2</v>
      </c>
      <c r="F21">
        <f>地区外転出!J21/地区別人口!P21</f>
        <v>2.015245772364847E-2</v>
      </c>
      <c r="G21">
        <f>地区外転出!K21/地区別人口!Q21</f>
        <v>1.7026505178163946E-2</v>
      </c>
      <c r="H21">
        <f>地区外転出!L21/地区別人口!R21</f>
        <v>1.7971984847150031E-2</v>
      </c>
      <c r="I21">
        <f>地区外転出!M21/地区別人口!S21</f>
        <v>1.8562715460090161E-2</v>
      </c>
      <c r="J21">
        <f>地区外転出!N21/地区別人口!T21</f>
        <v>1.7595048629531387E-2</v>
      </c>
      <c r="K21">
        <f>地区外転出!O21/地区別人口!U21</f>
        <v>1.674156313331571E-2</v>
      </c>
      <c r="L21">
        <f t="shared" si="0"/>
        <v>1.733643355893142E-2</v>
      </c>
    </row>
    <row r="22" spans="1:12">
      <c r="A22" t="s">
        <v>21</v>
      </c>
      <c r="B22">
        <f>地区外転出!F22/地区別人口!L22</f>
        <v>2.855088401996447E-2</v>
      </c>
      <c r="C22">
        <f>地区外転出!G22/地区別人口!M22</f>
        <v>2.9880310182063385E-2</v>
      </c>
      <c r="D22">
        <f>地区外転出!H22/地区別人口!N22</f>
        <v>2.7150084317032041E-2</v>
      </c>
      <c r="E22">
        <f>地区外転出!I22/地区別人口!O22</f>
        <v>2.9761654546218839E-2</v>
      </c>
      <c r="F22">
        <f>地区外転出!J22/地区別人口!P22</f>
        <v>2.9436536679861871E-2</v>
      </c>
      <c r="G22">
        <f>地区外転出!K22/地区別人口!Q22</f>
        <v>2.5748729365312722E-2</v>
      </c>
      <c r="H22">
        <f>地区外転出!L22/地区別人口!R22</f>
        <v>2.7635149238154872E-2</v>
      </c>
      <c r="I22">
        <f>地区外転出!M22/地区別人口!S22</f>
        <v>3.0449855895743703E-2</v>
      </c>
      <c r="J22">
        <f>地区外転出!N22/地区別人口!T22</f>
        <v>2.9843835501115461E-2</v>
      </c>
      <c r="K22">
        <f>地区外転出!O22/地区別人口!U22</f>
        <v>3.0343897505057317E-2</v>
      </c>
      <c r="L22">
        <f t="shared" si="0"/>
        <v>2.8880093725052468E-2</v>
      </c>
    </row>
    <row r="23" spans="1:12">
      <c r="A23" t="s">
        <v>22</v>
      </c>
      <c r="B23">
        <f>地区外転出!F23/地区別人口!L23</f>
        <v>8.9171974522292991E-3</v>
      </c>
      <c r="C23">
        <f>地区外転出!G23/地区別人口!M23</f>
        <v>5.235602094240838E-3</v>
      </c>
      <c r="D23">
        <f>地区外転出!H23/地区別人口!N23</f>
        <v>1.0796221322537112E-2</v>
      </c>
      <c r="E23">
        <f>地区外転出!I23/地区別人口!O23</f>
        <v>4.2016806722689074E-3</v>
      </c>
      <c r="F23">
        <f>地区外転出!J23/地区別人口!P23</f>
        <v>1.1477761836441894E-2</v>
      </c>
      <c r="G23">
        <f>地区外転出!K23/地区別人口!Q23</f>
        <v>2.9806259314456036E-3</v>
      </c>
      <c r="H23">
        <f>地区外転出!L23/地区別人口!R23</f>
        <v>4.5871559633027525E-3</v>
      </c>
      <c r="I23">
        <f>地区外転出!M23/地区別人口!S23</f>
        <v>7.874015748031496E-3</v>
      </c>
      <c r="J23">
        <f>地区外転出!N23/地区別人口!T23</f>
        <v>1.1164274322169059E-2</v>
      </c>
      <c r="K23">
        <f>地区外転出!O23/地区別人口!U23</f>
        <v>1.8302828618968387E-2</v>
      </c>
      <c r="L23">
        <f t="shared" si="0"/>
        <v>8.5537363961635353E-3</v>
      </c>
    </row>
    <row r="24" spans="1:12">
      <c r="A24" t="s">
        <v>23</v>
      </c>
      <c r="B24">
        <f>地区外転出!F24/地区別人口!L24</f>
        <v>5.8027079303675051E-3</v>
      </c>
      <c r="C24">
        <f>地区外転出!G24/地区別人口!M24</f>
        <v>7.8431372549019607E-3</v>
      </c>
      <c r="D24">
        <f>地区外転出!H24/地区別人口!N24</f>
        <v>7.9681274900398405E-3</v>
      </c>
      <c r="E24">
        <f>地区外転出!I24/地区別人口!O24</f>
        <v>2.0661157024793389E-2</v>
      </c>
      <c r="F24">
        <f>地区外転出!J24/地区別人口!P24</f>
        <v>6.4655172413793103E-3</v>
      </c>
      <c r="G24">
        <f>地区外転出!K24/地区別人口!Q24</f>
        <v>8.9285714285714281E-3</v>
      </c>
      <c r="H24">
        <f>地区外転出!L24/地区別人口!R24</f>
        <v>4.5766590389016018E-3</v>
      </c>
      <c r="I24">
        <f>地区外転出!M24/地区別人口!S24</f>
        <v>1.411764705882353E-2</v>
      </c>
      <c r="J24">
        <f>地区外転出!N24/地区別人口!T24</f>
        <v>5.0125313283208017E-3</v>
      </c>
      <c r="K24">
        <f>地区外転出!O24/地区別人口!U24</f>
        <v>1.5228426395939087E-2</v>
      </c>
      <c r="L24">
        <f t="shared" si="0"/>
        <v>9.6604482192038446E-3</v>
      </c>
    </row>
    <row r="25" spans="1:12">
      <c r="A25" t="s">
        <v>24</v>
      </c>
      <c r="B25">
        <f>地区外転出!F25/地区別人口!L25</f>
        <v>3.3384660747632931E-2</v>
      </c>
      <c r="C25">
        <f>地区外転出!G25/地区別人口!M25</f>
        <v>3.2927467923540191E-2</v>
      </c>
      <c r="D25">
        <f>地区外転出!H25/地区別人口!N25</f>
        <v>2.8460755670813773E-2</v>
      </c>
      <c r="E25">
        <f>地区外転出!I25/地区別人口!O25</f>
        <v>3.2473048023521724E-2</v>
      </c>
      <c r="F25">
        <f>地区外転出!J25/地区別人口!P25</f>
        <v>3.2733224222585927E-2</v>
      </c>
      <c r="G25">
        <f>地区外転出!K25/地区別人口!Q25</f>
        <v>2.9180327868852458E-2</v>
      </c>
      <c r="H25">
        <f>地区外転出!L25/地区別人口!R25</f>
        <v>2.7022606078450615E-2</v>
      </c>
      <c r="I25">
        <f>地区外転出!M25/地区別人口!S25</f>
        <v>3.0431635741544939E-2</v>
      </c>
      <c r="J25">
        <f>地区外転出!N25/地区別人口!T25</f>
        <v>2.807875264270613E-2</v>
      </c>
      <c r="K25">
        <f>地区外転出!O25/地区別人口!U25</f>
        <v>2.7744669580188053E-2</v>
      </c>
      <c r="L25">
        <f t="shared" si="0"/>
        <v>3.0243714849983679E-2</v>
      </c>
    </row>
    <row r="26" spans="1:12">
      <c r="A26" t="s">
        <v>25</v>
      </c>
      <c r="B26">
        <f>地区外転出!F26/地区別人口!L26</f>
        <v>2.1852114339711789E-2</v>
      </c>
      <c r="C26">
        <f>地区外転出!G26/地区別人口!M26</f>
        <v>1.8989609458975279E-2</v>
      </c>
      <c r="D26">
        <f>地区外転出!H26/地区別人口!N26</f>
        <v>2.2768124625524265E-2</v>
      </c>
      <c r="E26">
        <f>地区外転出!I26/地区別人口!O26</f>
        <v>2.0903818269695507E-2</v>
      </c>
      <c r="F26">
        <f>地区外転出!J26/地区別人口!P26</f>
        <v>2.0686298369432952E-2</v>
      </c>
      <c r="G26">
        <f>地区外転出!K26/地区別人口!Q26</f>
        <v>1.94091796875E-2</v>
      </c>
      <c r="H26">
        <f>地区外転出!L26/地区別人口!R26</f>
        <v>1.8224356606329269E-2</v>
      </c>
      <c r="I26">
        <f>地区外転出!M26/地区別人口!S26</f>
        <v>2.1186965679593606E-2</v>
      </c>
      <c r="J26">
        <f>地区外転出!N26/地区別人口!T26</f>
        <v>1.8340611353711789E-2</v>
      </c>
      <c r="K26">
        <f>地区外転出!O26/地区別人口!U26</f>
        <v>1.8701036138488752E-2</v>
      </c>
      <c r="L26">
        <f t="shared" si="0"/>
        <v>2.010621145289632E-2</v>
      </c>
    </row>
    <row r="27" spans="1:12">
      <c r="A27" t="s">
        <v>26</v>
      </c>
      <c r="B27">
        <f>地区外転出!F27/地区別人口!L27</f>
        <v>1.1235955056179775E-2</v>
      </c>
      <c r="C27">
        <f>地区外転出!G27/地区別人口!M27</f>
        <v>1.7910447761194031E-2</v>
      </c>
      <c r="D27">
        <f>地区外転出!H27/地区別人口!N27</f>
        <v>6.2111801242236021E-3</v>
      </c>
      <c r="E27">
        <f>地区外転出!I27/地区別人口!O27</f>
        <v>1.238390092879257E-2</v>
      </c>
      <c r="F27">
        <f>地区外転出!J27/地区別人口!P27</f>
        <v>6.5359477124183009E-3</v>
      </c>
      <c r="G27">
        <f>地区外転出!K27/地区別人口!Q27</f>
        <v>1.3513513513513514E-2</v>
      </c>
      <c r="H27">
        <f>地区外転出!L27/地区別人口!R27</f>
        <v>1.4285714285714285E-2</v>
      </c>
      <c r="I27">
        <f>地区外転出!M27/地区別人口!S27</f>
        <v>3.8167938931297708E-3</v>
      </c>
      <c r="J27">
        <f>地区外転出!N27/地区別人口!T27</f>
        <v>1.2096774193548387E-2</v>
      </c>
      <c r="K27">
        <f>地区外転出!O27/地区別人口!U27</f>
        <v>8.4388185654008432E-3</v>
      </c>
      <c r="L27">
        <f t="shared" si="0"/>
        <v>1.064290460341151E-2</v>
      </c>
    </row>
    <row r="28" spans="1:12">
      <c r="A28" t="s">
        <v>27</v>
      </c>
      <c r="B28">
        <f>地区外転出!F28/地区別人口!L28</f>
        <v>1.6804007109387623E-2</v>
      </c>
      <c r="C28">
        <f>地区外転出!G28/地区別人口!M28</f>
        <v>1.6118836915297093E-2</v>
      </c>
      <c r="D28">
        <f>地区外転出!H28/地区別人口!N28</f>
        <v>1.5767896562598551E-2</v>
      </c>
      <c r="E28">
        <f>地区外転出!I28/地区別人口!O28</f>
        <v>1.5708451146716932E-2</v>
      </c>
      <c r="F28">
        <f>地区外転出!J28/地区別人口!P28</f>
        <v>1.5463917525773196E-2</v>
      </c>
      <c r="G28">
        <f>地区外転出!K28/地区別人口!Q28</f>
        <v>1.761221945137157E-2</v>
      </c>
      <c r="H28">
        <f>地区外転出!L28/地区別人口!R28</f>
        <v>1.7354596622889306E-2</v>
      </c>
      <c r="I28">
        <f>地区外転出!M28/地区別人口!S28</f>
        <v>1.6442687747035573E-2</v>
      </c>
      <c r="J28">
        <f>地区外転出!N28/地区別人口!T28</f>
        <v>1.6232722597235617E-2</v>
      </c>
      <c r="K28">
        <f>地区外転出!O28/地区別人口!U28</f>
        <v>1.9627085377821395E-2</v>
      </c>
      <c r="L28">
        <f t="shared" si="0"/>
        <v>1.6713242105612688E-2</v>
      </c>
    </row>
    <row r="29" spans="1:12">
      <c r="A29" t="s">
        <v>28</v>
      </c>
      <c r="B29">
        <f>地区外転出!F29/地区別人口!L29</f>
        <v>1.2750455373406194E-2</v>
      </c>
      <c r="C29">
        <f>地区外転出!G29/地区別人口!M29</f>
        <v>7.6335877862595417E-3</v>
      </c>
      <c r="D29">
        <f>地区外転出!H29/地区別人口!N29</f>
        <v>1.1857707509881422E-2</v>
      </c>
      <c r="E29">
        <f>地区外転出!I29/地区別人口!O29</f>
        <v>4.0160642570281121E-3</v>
      </c>
      <c r="F29">
        <f>地区外転出!J29/地区別人口!P29</f>
        <v>9.9601593625498006E-3</v>
      </c>
      <c r="G29">
        <f>地区外転出!K29/地区別人口!Q29</f>
        <v>6.1983471074380167E-3</v>
      </c>
      <c r="H29">
        <f>地区外転出!L29/地区別人口!R29</f>
        <v>1.5151515151515152E-2</v>
      </c>
      <c r="I29">
        <f>地区外転出!M29/地区別人口!S29</f>
        <v>2.4553571428571428E-2</v>
      </c>
      <c r="J29">
        <f>地区外転出!N29/地区別人口!T29</f>
        <v>1.3761467889908258E-2</v>
      </c>
      <c r="K29">
        <f>地区外転出!O29/地区別人口!U29</f>
        <v>1.179245283018868E-2</v>
      </c>
      <c r="L29">
        <f t="shared" si="0"/>
        <v>1.1767532869674659E-2</v>
      </c>
    </row>
    <row r="30" spans="1:12">
      <c r="A30" t="s">
        <v>29</v>
      </c>
      <c r="B30">
        <f>地区外転出!F30/地区別人口!L30</f>
        <v>3.072562358276644E-2</v>
      </c>
      <c r="C30">
        <f>地区外転出!G30/地区別人口!M30</f>
        <v>3.3189606263474412E-2</v>
      </c>
      <c r="D30">
        <f>地区外転出!H30/地区別人口!N30</f>
        <v>2.9385069208078058E-2</v>
      </c>
      <c r="E30">
        <f>地区外転出!I30/地区別人口!O30</f>
        <v>4.6830545123477868E-2</v>
      </c>
      <c r="F30">
        <f>地区外転出!J30/地区別人口!P30</f>
        <v>4.8019207683073231E-2</v>
      </c>
      <c r="G30">
        <f>地区外転出!K30/地区別人口!Q30</f>
        <v>4.5662361412732881E-2</v>
      </c>
      <c r="H30">
        <f>地区外転出!L30/地区別人口!R30</f>
        <v>5.1039589860438619E-2</v>
      </c>
      <c r="I30">
        <f>地区外転出!M30/地区別人口!S30</f>
        <v>4.7862560330958398E-2</v>
      </c>
      <c r="J30">
        <f>地区外転出!N30/地区別人口!T30</f>
        <v>4.6979478902467141E-2</v>
      </c>
      <c r="K30">
        <f>地区外転出!O30/地区別人口!U30</f>
        <v>4.0941776849918815E-2</v>
      </c>
      <c r="L30">
        <f t="shared" si="0"/>
        <v>4.2063581921738577E-2</v>
      </c>
    </row>
    <row r="31" spans="1:12">
      <c r="A31" t="s">
        <v>30</v>
      </c>
      <c r="B31">
        <f>地区外転出!F31/地区別人口!L31</f>
        <v>2.4979440789473683E-2</v>
      </c>
      <c r="C31">
        <f>地区外転出!G31/地区別人口!M31</f>
        <v>2.3998352044494797E-2</v>
      </c>
      <c r="D31">
        <f>地区外転出!H31/地区別人口!N31</f>
        <v>2.4926992073425115E-2</v>
      </c>
      <c r="E31">
        <f>地区外転出!I31/地区別人口!O31</f>
        <v>2.3029414843504657E-2</v>
      </c>
      <c r="F31">
        <f>地区外転出!J31/地区別人口!P31</f>
        <v>2.2988505747126436E-2</v>
      </c>
      <c r="G31">
        <f>地区外転出!K31/地区別人口!Q31</f>
        <v>2.01934318205973E-2</v>
      </c>
      <c r="H31">
        <f>地区外転出!L31/地区別人口!R31</f>
        <v>2.0777263429863278E-2</v>
      </c>
      <c r="I31">
        <f>地区外転出!M31/地区別人口!S31</f>
        <v>2.8396913844834976E-2</v>
      </c>
      <c r="J31">
        <f>地区外転出!N31/地区別人口!T31</f>
        <v>2.2967435842139314E-2</v>
      </c>
      <c r="K31">
        <f>地区外転出!O31/地区別人口!U31</f>
        <v>2.5479778813834977E-2</v>
      </c>
      <c r="L31">
        <f t="shared" si="0"/>
        <v>2.3773752924929455E-2</v>
      </c>
    </row>
    <row r="32" spans="1:12">
      <c r="A32" t="s">
        <v>31</v>
      </c>
      <c r="B32">
        <f>地区外転出!F32/地区別人口!L32</f>
        <v>3.4912591841905247E-2</v>
      </c>
      <c r="C32">
        <f>地区外転出!G32/地区別人口!M32</f>
        <v>3.262593204898951E-2</v>
      </c>
      <c r="D32">
        <f>地区外転出!H32/地区別人口!N32</f>
        <v>3.149394347240915E-2</v>
      </c>
      <c r="E32">
        <f>地区外転出!I32/地区別人口!O32</f>
        <v>3.0800094406419638E-2</v>
      </c>
      <c r="F32">
        <f>地区外転出!J32/地区別人口!P32</f>
        <v>3.1229448763131714E-2</v>
      </c>
      <c r="G32">
        <f>地区外転出!K32/地区別人口!Q32</f>
        <v>3.2112486318093797E-2</v>
      </c>
      <c r="H32">
        <f>地区外転出!L32/地区別人口!R32</f>
        <v>2.8886829021656697E-2</v>
      </c>
      <c r="I32">
        <f>地区外転出!M32/地区別人口!S32</f>
        <v>3.3174155881409984E-2</v>
      </c>
      <c r="J32">
        <f>地区外転出!N32/地区別人口!T32</f>
        <v>3.2012893375180256E-2</v>
      </c>
      <c r="K32">
        <f>地区外転出!O32/地区別人口!U32</f>
        <v>3.0505748699698878E-2</v>
      </c>
      <c r="L32">
        <f t="shared" si="0"/>
        <v>3.1775412382889487E-2</v>
      </c>
    </row>
    <row r="33" spans="1:12">
      <c r="A33" t="s">
        <v>32</v>
      </c>
      <c r="B33">
        <f>地区外転出!F33/地区別人口!L33</f>
        <v>3.3440588370489542E-2</v>
      </c>
      <c r="C33">
        <f>地区外転出!G33/地区別人口!M33</f>
        <v>2.9843786430403356E-2</v>
      </c>
      <c r="D33">
        <f>地区外転出!H33/地区別人口!N33</f>
        <v>2.2991230149324485E-2</v>
      </c>
      <c r="E33">
        <f>地区外転出!I33/地区別人口!O33</f>
        <v>1.9640718562874252E-2</v>
      </c>
      <c r="F33">
        <f>地区外転出!J33/地区別人口!P33</f>
        <v>1.9067034416596716E-2</v>
      </c>
      <c r="G33">
        <f>地区外転出!K33/地区別人口!Q33</f>
        <v>2.0467132193594993E-2</v>
      </c>
      <c r="H33">
        <f>地区外転出!L33/地区別人口!R33</f>
        <v>1.8773619407533828E-2</v>
      </c>
      <c r="I33">
        <f>地区外転出!M33/地区別人口!S33</f>
        <v>1.8634301826651954E-2</v>
      </c>
      <c r="J33">
        <f>地区外転出!N33/地区別人口!T33</f>
        <v>2.2255377346761158E-2</v>
      </c>
      <c r="K33">
        <f>地区外転出!O33/地区別人口!U33</f>
        <v>2.6229508196721311E-2</v>
      </c>
      <c r="L33">
        <f t="shared" si="0"/>
        <v>2.3134329690095164E-2</v>
      </c>
    </row>
    <row r="34" spans="1:12">
      <c r="A34" t="s">
        <v>33</v>
      </c>
      <c r="B34">
        <f>地区外転出!F34/地区別人口!L34</f>
        <v>1.8626929217668974E-2</v>
      </c>
      <c r="C34">
        <f>地区外転出!G34/地区別人口!M34</f>
        <v>2.2801302931596091E-2</v>
      </c>
      <c r="D34">
        <f>地区外転出!H34/地区別人口!N34</f>
        <v>1.7146017699115043E-2</v>
      </c>
      <c r="E34">
        <f>地区外転出!I34/地区別人口!O34</f>
        <v>1.9908987485779295E-2</v>
      </c>
      <c r="F34">
        <f>地区外転出!J34/地区別人口!P34</f>
        <v>2.0833333333333332E-2</v>
      </c>
      <c r="G34">
        <f>地区外転出!K34/地区別人口!Q34</f>
        <v>1.8332347723240685E-2</v>
      </c>
      <c r="H34">
        <f>地区外転出!L34/地区別人口!R34</f>
        <v>1.2070006035003017E-2</v>
      </c>
      <c r="I34">
        <f>地区外転出!M34/地区別人口!S34</f>
        <v>1.9030079803560467E-2</v>
      </c>
      <c r="J34">
        <f>地区外転出!N34/地区別人口!T34</f>
        <v>1.7034700315457414E-2</v>
      </c>
      <c r="K34">
        <f>地区外転出!O34/地区別人口!U34</f>
        <v>1.6785022595222725E-2</v>
      </c>
      <c r="L34">
        <f t="shared" si="0"/>
        <v>1.8256872713997705E-2</v>
      </c>
    </row>
    <row r="35" spans="1:12">
      <c r="A35" t="s">
        <v>34</v>
      </c>
      <c r="B35">
        <f>地区外転出!F35/地区別人口!L35</f>
        <v>1.6759776536312849E-2</v>
      </c>
      <c r="C35">
        <f>地区外転出!G35/地区別人口!M35</f>
        <v>1.3731825525040387E-2</v>
      </c>
      <c r="D35">
        <f>地区外転出!H35/地区別人口!N35</f>
        <v>1.15990057995029E-2</v>
      </c>
      <c r="E35">
        <f>地区外転出!I35/地区別人口!O35</f>
        <v>1.1035653650254669E-2</v>
      </c>
      <c r="F35">
        <f>地区外転出!J35/地区別人口!P35</f>
        <v>1.1393514460999123E-2</v>
      </c>
      <c r="G35">
        <f>地区外転出!K35/地区別人口!Q35</f>
        <v>1.2544802867383513E-2</v>
      </c>
      <c r="H35">
        <f>地区外転出!L35/地区別人口!R35</f>
        <v>1.1915673693858845E-2</v>
      </c>
      <c r="I35">
        <f>地区外転出!M35/地区別人口!S35</f>
        <v>8.3955223880597014E-3</v>
      </c>
      <c r="J35">
        <f>地区外転出!N35/地区別人口!T35</f>
        <v>1.065891472868217E-2</v>
      </c>
      <c r="K35">
        <f>地区外転出!O35/地区別人口!U35</f>
        <v>1.7612524461839529E-2</v>
      </c>
      <c r="L35">
        <f t="shared" si="0"/>
        <v>1.2564721411193368E-2</v>
      </c>
    </row>
    <row r="36" spans="1:12">
      <c r="A36" t="s">
        <v>35</v>
      </c>
      <c r="B36">
        <f>地区外転出!F36/地区別人口!L36</f>
        <v>7.5921908893709323E-3</v>
      </c>
      <c r="C36">
        <f>地区外転出!G36/地区別人口!M36</f>
        <v>6.7491563554555678E-3</v>
      </c>
      <c r="D36">
        <f>地区外転出!H36/地区別人口!N36</f>
        <v>1.1682242990654205E-2</v>
      </c>
      <c r="E36">
        <f>地区外転出!I36/地区別人口!O36</f>
        <v>5.9665871121718375E-3</v>
      </c>
      <c r="F36">
        <f>地区外転出!J36/地区別人口!P36</f>
        <v>7.0671378091872791E-3</v>
      </c>
      <c r="G36">
        <f>地区外転出!K36/地区別人口!Q36</f>
        <v>1.1961722488038277E-2</v>
      </c>
      <c r="H36">
        <f>地区外転出!L36/地区別人口!R36</f>
        <v>2.3114355231143552E-2</v>
      </c>
      <c r="I36">
        <f>地区外転出!M36/地区別人口!S36</f>
        <v>1.0282776349614395E-2</v>
      </c>
      <c r="J36">
        <f>地区外転出!N36/地区別人口!T36</f>
        <v>7.8431372549019607E-3</v>
      </c>
      <c r="K36">
        <f>地区外転出!O36/地区別人口!U36</f>
        <v>8.21917808219178E-3</v>
      </c>
      <c r="L36">
        <f t="shared" si="0"/>
        <v>1.0047848456272979E-2</v>
      </c>
    </row>
    <row r="37" spans="1:12">
      <c r="A37" t="s">
        <v>36</v>
      </c>
      <c r="B37">
        <f>地区外転出!F37/地区別人口!L37</f>
        <v>2.0982355746304245E-2</v>
      </c>
      <c r="C37">
        <f>地区外転出!G37/地区別人口!M37</f>
        <v>2.7220630372492838E-2</v>
      </c>
      <c r="D37">
        <f>地区外転出!H37/地区別人口!N37</f>
        <v>2.6647286821705425E-2</v>
      </c>
      <c r="E37">
        <f>地区外転出!I37/地区別人口!O37</f>
        <v>1.6533066132264528E-2</v>
      </c>
      <c r="F37">
        <f>地区外転出!J37/地区別人口!P37</f>
        <v>2.5601638504864313E-2</v>
      </c>
      <c r="G37">
        <f>地区外転出!K37/地区別人口!Q37</f>
        <v>1.9027484143763214E-2</v>
      </c>
      <c r="H37">
        <f>地区外転出!L37/地区別人口!R37</f>
        <v>1.8358531317494601E-2</v>
      </c>
      <c r="I37">
        <f>地区外転出!M37/地区別人口!S37</f>
        <v>1.928374655647383E-2</v>
      </c>
      <c r="J37">
        <f>地区外転出!N37/地区別人口!T37</f>
        <v>1.5143017386427369E-2</v>
      </c>
      <c r="K37">
        <f>地区外転出!O37/地区別人口!U37</f>
        <v>1.675041876046901E-2</v>
      </c>
      <c r="L37">
        <f t="shared" si="0"/>
        <v>2.0554817574225937E-2</v>
      </c>
    </row>
    <row r="38" spans="1:12">
      <c r="A38" t="s">
        <v>37</v>
      </c>
      <c r="B38">
        <f>地区外転出!F38/地区別人口!L38</f>
        <v>1.1545293072824156E-2</v>
      </c>
      <c r="C38">
        <f>地区外転出!G38/地区別人口!M38</f>
        <v>1.2206148282097649E-2</v>
      </c>
      <c r="D38">
        <f>地区外転出!H38/地区別人口!N38</f>
        <v>1.1136890951276101E-2</v>
      </c>
      <c r="E38">
        <f>地区外転出!I38/地区別人口!O38</f>
        <v>8.9919545669663991E-3</v>
      </c>
      <c r="F38">
        <f>地区外転出!J38/地区別人口!P38</f>
        <v>1.4443909484833895E-2</v>
      </c>
      <c r="G38">
        <f>地区外転出!K38/地区別人口!Q38</f>
        <v>5.3554040895813044E-3</v>
      </c>
      <c r="H38">
        <f>地区外転出!L38/地区別人口!R38</f>
        <v>8.9730807577268201E-3</v>
      </c>
      <c r="I38">
        <f>地区外転出!M38/地区別人口!S38</f>
        <v>1.7739483020780537E-2</v>
      </c>
      <c r="J38">
        <f>地区外転出!N38/地区別人口!T38</f>
        <v>1.4963880288957688E-2</v>
      </c>
      <c r="K38">
        <f>地区外転出!O38/地区別人口!U38</f>
        <v>1.3785790031813362E-2</v>
      </c>
      <c r="L38">
        <f t="shared" si="0"/>
        <v>1.1914183454685793E-2</v>
      </c>
    </row>
    <row r="39" spans="1:12">
      <c r="A39" t="s">
        <v>38</v>
      </c>
      <c r="B39">
        <f>地区外転出!F39/地区別人口!L39</f>
        <v>1.8974864465253819E-2</v>
      </c>
      <c r="C39">
        <f>地区外転出!G39/地区別人口!M39</f>
        <v>2.2899813316739265E-2</v>
      </c>
      <c r="D39">
        <f>地区外転出!H39/地区別人口!N39</f>
        <v>2.0583832335329341E-2</v>
      </c>
      <c r="E39">
        <f>地区外転出!I39/地区別人口!O39</f>
        <v>2.0338983050847456E-2</v>
      </c>
      <c r="F39">
        <f>地区外転出!J39/地区別人口!P39</f>
        <v>1.7054855542828051E-2</v>
      </c>
      <c r="G39">
        <f>地区外転出!K39/地区別人口!Q39</f>
        <v>1.967754221150184E-2</v>
      </c>
      <c r="H39">
        <f>地区外転出!L39/地区別人口!R39</f>
        <v>2.0226434295891108E-2</v>
      </c>
      <c r="I39">
        <f>地区外転出!M39/地区別人口!S39</f>
        <v>2.0450160771704182E-2</v>
      </c>
      <c r="J39">
        <f>地区外転出!N39/地区別人口!T39</f>
        <v>2.4799793335055543E-2</v>
      </c>
      <c r="K39">
        <f>地区外転出!O39/地区別人口!U39</f>
        <v>1.9987021414665802E-2</v>
      </c>
      <c r="L39">
        <f t="shared" si="0"/>
        <v>2.0499330073981643E-2</v>
      </c>
    </row>
    <row r="40" spans="1:12">
      <c r="A40" t="s">
        <v>39</v>
      </c>
      <c r="B40">
        <f>地区外転出!F40/地区別人口!L40</f>
        <v>1.2835669650396892E-2</v>
      </c>
      <c r="C40">
        <f>地区外転出!G40/地区別人口!M40</f>
        <v>1.1760695415033237E-2</v>
      </c>
      <c r="D40">
        <f>地区外転出!H40/地区別人口!N40</f>
        <v>1.0845240144603202E-2</v>
      </c>
      <c r="E40">
        <f>地区外転出!I40/地区別人口!O40</f>
        <v>1.3937282229965157E-2</v>
      </c>
      <c r="F40">
        <f>地区外転出!J40/地区別人口!P40</f>
        <v>1.1457782478406488E-2</v>
      </c>
      <c r="G40">
        <f>地区外転出!K40/地区別人口!Q40</f>
        <v>1.0487024528972627E-2</v>
      </c>
      <c r="H40">
        <f>地区外転出!L40/地区別人口!R40</f>
        <v>1.6860043509789702E-2</v>
      </c>
      <c r="I40">
        <f>地区外転出!M40/地区別人口!S40</f>
        <v>1.453541858325667E-2</v>
      </c>
      <c r="J40">
        <f>地区外転出!N40/地区別人口!T40</f>
        <v>1.4656144306651634E-2</v>
      </c>
      <c r="K40">
        <f>地区外転出!O40/地区別人口!U40</f>
        <v>1.2564249000571102E-2</v>
      </c>
      <c r="L40">
        <f t="shared" si="0"/>
        <v>1.2993954984764671E-2</v>
      </c>
    </row>
    <row r="41" spans="1:12">
      <c r="A41" t="s">
        <v>40</v>
      </c>
      <c r="B41">
        <f>地区外転出!F41/地区別人口!L41</f>
        <v>1.2526939655172414E-2</v>
      </c>
      <c r="C41">
        <f>地区外転出!G41/地区別人口!M41</f>
        <v>1.5903221421775179E-2</v>
      </c>
      <c r="D41">
        <f>地区外転出!H41/地区別人口!N41</f>
        <v>1.1811564345556929E-2</v>
      </c>
      <c r="E41">
        <f>地区外転出!I41/地区別人口!O41</f>
        <v>1.2275862068965518E-2</v>
      </c>
      <c r="F41">
        <f>地区外転出!J41/地区別人口!P41</f>
        <v>1.6113349076260591E-2</v>
      </c>
      <c r="G41">
        <f>地区外転出!K41/地区別人口!Q41</f>
        <v>1.1690140845070423E-2</v>
      </c>
      <c r="H41">
        <f>地区外転出!L41/地区別人口!R41</f>
        <v>1.52465089769165E-2</v>
      </c>
      <c r="I41">
        <f>地区外転出!M41/地区別人口!S41</f>
        <v>1.2408021930457366E-2</v>
      </c>
      <c r="J41">
        <f>地区外転出!N41/地区別人口!T41</f>
        <v>1.5246115870480616E-2</v>
      </c>
      <c r="K41">
        <f>地区外転出!O41/地区別人口!U41</f>
        <v>1.0186005314437556E-2</v>
      </c>
      <c r="L41">
        <f t="shared" si="0"/>
        <v>1.3340772950509307E-2</v>
      </c>
    </row>
    <row r="42" spans="1:12">
      <c r="A42" t="s">
        <v>41</v>
      </c>
      <c r="B42">
        <f>地区外転出!F42/地区別人口!L42</f>
        <v>2.6041666666666665E-3</v>
      </c>
      <c r="C42">
        <f>地区外転出!G42/地区別人口!M42</f>
        <v>0</v>
      </c>
      <c r="D42">
        <f>地区外転出!H42/地区別人口!N42</f>
        <v>5.7471264367816091E-3</v>
      </c>
      <c r="E42">
        <f>地区外転出!I42/地区別人口!O42</f>
        <v>3.0120481927710845E-3</v>
      </c>
      <c r="F42">
        <f>地区外転出!J42/地区別人口!P42</f>
        <v>3.134796238244514E-3</v>
      </c>
      <c r="G42">
        <f>地区外転出!K42/地区別人口!Q42</f>
        <v>0</v>
      </c>
      <c r="H42">
        <f>地区外転出!L42/地区別人口!R42</f>
        <v>1.6891891891891893E-2</v>
      </c>
      <c r="I42">
        <f>地区外転出!M42/地区別人口!S42</f>
        <v>1.048951048951049E-2</v>
      </c>
      <c r="J42">
        <f>地区外転出!N42/地区別人口!T42</f>
        <v>0</v>
      </c>
      <c r="K42">
        <f>地区外転出!O42/地区別人口!U42</f>
        <v>3.875968992248062E-3</v>
      </c>
      <c r="L42">
        <f t="shared" si="0"/>
        <v>4.5755508908114318E-3</v>
      </c>
    </row>
    <row r="43" spans="1:12">
      <c r="A43" t="s">
        <v>42</v>
      </c>
      <c r="B43">
        <f>地区外転出!F43/地区別人口!L43</f>
        <v>9.3541202672605787E-3</v>
      </c>
      <c r="C43">
        <f>地区外転出!G43/地区別人口!M43</f>
        <v>8.763837638376383E-3</v>
      </c>
      <c r="D43">
        <f>地区外転出!H43/地区別人口!N43</f>
        <v>8.060692271218587E-3</v>
      </c>
      <c r="E43">
        <f>地区外転出!I43/地区別人口!O43</f>
        <v>8.3950617283950618E-3</v>
      </c>
      <c r="F43">
        <f>地区外転出!J43/地区別人口!P43</f>
        <v>9.6988259315977533E-3</v>
      </c>
      <c r="G43">
        <f>地区外転出!K43/地区別人口!Q43</f>
        <v>4.2238648363252373E-3</v>
      </c>
      <c r="H43">
        <f>地区外転出!L43/地区別人口!R43</f>
        <v>1.1400651465798045E-2</v>
      </c>
      <c r="I43">
        <f>地区外転出!M43/地区別人口!S43</f>
        <v>1.021566401816118E-2</v>
      </c>
      <c r="J43">
        <f>地区外転出!N43/地区別人口!T43</f>
        <v>1.0746268656716417E-2</v>
      </c>
      <c r="K43">
        <f>地区外転出!O43/地区別人口!U43</f>
        <v>1.1131725417439703E-2</v>
      </c>
      <c r="L43">
        <f t="shared" si="0"/>
        <v>9.1990712231288952E-3</v>
      </c>
    </row>
    <row r="44" spans="1:12">
      <c r="A44" t="s">
        <v>43</v>
      </c>
      <c r="B44">
        <f>地区外転出!F44/地区別人口!L44</f>
        <v>7.832898172323759E-3</v>
      </c>
      <c r="C44">
        <f>地区外転出!G44/地区別人口!M44</f>
        <v>1.2162162162162163E-2</v>
      </c>
      <c r="D44">
        <f>地区外転出!H44/地区別人口!N44</f>
        <v>2.1276595744680851E-2</v>
      </c>
      <c r="E44">
        <f>地区外転出!I44/地区別人口!O44</f>
        <v>7.3746312684365781E-3</v>
      </c>
      <c r="F44">
        <f>地区外転出!J44/地区別人口!P44</f>
        <v>3.0075187969924814E-3</v>
      </c>
      <c r="G44">
        <f>地区外転出!K44/地区別人口!Q44</f>
        <v>4.5731707317073168E-3</v>
      </c>
      <c r="H44">
        <f>地区外転出!L44/地区別人口!R44</f>
        <v>3.1397174254317113E-3</v>
      </c>
      <c r="I44">
        <f>地区外転出!M44/地区別人口!S44</f>
        <v>1.1235955056179775E-2</v>
      </c>
      <c r="J44">
        <f>地区外転出!N44/地区別人口!T44</f>
        <v>1.5025041736227046E-2</v>
      </c>
      <c r="K44">
        <f>地区外転出!O44/地区別人口!U44</f>
        <v>8.5910652920962206E-3</v>
      </c>
      <c r="L44">
        <f t="shared" si="0"/>
        <v>9.421875638623789E-3</v>
      </c>
    </row>
    <row r="45" spans="1:12">
      <c r="A45" t="s">
        <v>44</v>
      </c>
      <c r="B45">
        <f>地区外転出!F45/地区別人口!L45</f>
        <v>1.0764262648008612E-2</v>
      </c>
      <c r="C45">
        <f>地区外転出!G45/地区別人口!M45</f>
        <v>1.0146561443066516E-2</v>
      </c>
      <c r="D45">
        <f>地区外転出!H45/地区別人口!N45</f>
        <v>2.3752969121140144E-3</v>
      </c>
      <c r="E45">
        <f>地区外転出!I45/地区別人口!O45</f>
        <v>1.1392405063291139E-2</v>
      </c>
      <c r="F45">
        <f>地区外転出!J45/地区別人口!P45</f>
        <v>6.7294751009421266E-3</v>
      </c>
      <c r="G45">
        <f>地区外転出!K45/地区別人口!Q45</f>
        <v>7.102272727272727E-3</v>
      </c>
      <c r="H45">
        <f>地区外転出!L45/地区別人口!R45</f>
        <v>5.9259259259259256E-3</v>
      </c>
      <c r="I45">
        <f>地区外転出!M45/地区別人口!S45</f>
        <v>4.6511627906976744E-3</v>
      </c>
      <c r="J45">
        <f>地区外転出!N45/地区別人口!T45</f>
        <v>9.538950715421303E-3</v>
      </c>
      <c r="K45">
        <f>地区外転出!O45/地区別人口!U45</f>
        <v>1.6778523489932886E-3</v>
      </c>
      <c r="L45">
        <f t="shared" si="0"/>
        <v>7.0304165675733332E-3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地区内転居出</vt:lpstr>
      <vt:lpstr>地区外転出</vt:lpstr>
      <vt:lpstr>地区内転居入</vt:lpstr>
      <vt:lpstr>地区外転入</vt:lpstr>
      <vt:lpstr>地区別人口</vt:lpstr>
      <vt:lpstr>地区内転居出率</vt:lpstr>
      <vt:lpstr>地区外転出率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増田　慧樹</dc:creator>
  <cp:lastModifiedBy>増田　慧樹</cp:lastModifiedBy>
  <dcterms:created xsi:type="dcterms:W3CDTF">2025-12-04T12:04:22Z</dcterms:created>
  <dcterms:modified xsi:type="dcterms:W3CDTF">2025-12-06T13:51:16Z</dcterms:modified>
</cp:coreProperties>
</file>